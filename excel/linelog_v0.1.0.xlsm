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_i_d\Desktop\excel_macro_project\excel\"/>
    </mc:Choice>
  </mc:AlternateContent>
  <xr:revisionPtr revIDLastSave="0" documentId="13_ncr:1_{72F91087-493F-4FAB-9AAB-7A17847170E1}" xr6:coauthVersionLast="47" xr6:coauthVersionMax="47" xr10:uidLastSave="{00000000-0000-0000-0000-000000000000}"/>
  <bookViews>
    <workbookView xWindow="-135" yWindow="-135" windowWidth="16470" windowHeight="28350" xr2:uid="{46C296D3-9FCE-4739-80D7-62830EB10CBF}"/>
  </bookViews>
  <sheets>
    <sheet name="生産状況" sheetId="1" r:id="rId1"/>
    <sheet name="計画数(10分毎)" sheetId="2" r:id="rId2"/>
    <sheet name="production" sheetId="3" r:id="rId3"/>
    <sheet name="CT" sheetId="4" r:id="rId4"/>
    <sheet name="defective" sheetId="5" r:id="rId5"/>
    <sheet name="linestop" sheetId="6" r:id="rId6"/>
    <sheet name="YOBIBAN" sheetId="7" r:id="rId7"/>
  </sheets>
  <functionGroups builtInGroupCount="19"/>
  <externalReferences>
    <externalReference r:id="rId8"/>
  </externalReferences>
  <definedNames>
    <definedName name="_xlnm._FilterDatabase" localSheetId="1" hidden="1">'計画数(10分毎)'!$AB$1:$AG$1172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4" i="1"/>
  <c r="F17" i="1"/>
  <c r="J17" i="1"/>
  <c r="N17" i="1"/>
  <c r="R17" i="1"/>
  <c r="V17" i="1"/>
  <c r="F18" i="1"/>
  <c r="J18" i="1"/>
  <c r="N18" i="1"/>
  <c r="R18" i="1"/>
  <c r="V18" i="1"/>
  <c r="F19" i="1"/>
  <c r="J19" i="1"/>
  <c r="N19" i="1"/>
  <c r="R19" i="1"/>
  <c r="V19" i="1"/>
  <c r="F20" i="1"/>
  <c r="J20" i="1"/>
  <c r="N20" i="1"/>
  <c r="R20" i="1"/>
  <c r="V20" i="1"/>
  <c r="F21" i="1"/>
  <c r="J21" i="1"/>
  <c r="N21" i="1"/>
  <c r="R21" i="1"/>
  <c r="V21" i="1"/>
  <c r="F22" i="1"/>
  <c r="J22" i="1"/>
  <c r="N22" i="1"/>
  <c r="R22" i="1"/>
  <c r="V22" i="1"/>
  <c r="F23" i="1"/>
  <c r="J23" i="1"/>
  <c r="N23" i="1"/>
  <c r="R23" i="1"/>
  <c r="V23" i="1"/>
  <c r="F24" i="1"/>
  <c r="J24" i="1"/>
  <c r="N24" i="1"/>
  <c r="R24" i="1"/>
  <c r="V24" i="1"/>
  <c r="F25" i="1"/>
  <c r="J25" i="1"/>
  <c r="N25" i="1"/>
  <c r="R25" i="1"/>
  <c r="V25" i="1"/>
  <c r="F26" i="1"/>
  <c r="J26" i="1"/>
  <c r="N26" i="1"/>
  <c r="R26" i="1"/>
  <c r="V26" i="1"/>
  <c r="F27" i="1"/>
  <c r="J27" i="1"/>
  <c r="N27" i="1"/>
  <c r="R27" i="1"/>
  <c r="V27" i="1"/>
  <c r="F28" i="1"/>
  <c r="J28" i="1"/>
  <c r="N28" i="1"/>
  <c r="R28" i="1"/>
  <c r="V28" i="1"/>
  <c r="F29" i="1"/>
  <c r="J29" i="1"/>
  <c r="N29" i="1"/>
  <c r="R29" i="1"/>
  <c r="V29" i="1"/>
  <c r="F30" i="1"/>
  <c r="J30" i="1"/>
  <c r="N30" i="1"/>
  <c r="R30" i="1"/>
  <c r="V30" i="1"/>
  <c r="F31" i="1"/>
  <c r="J31" i="1"/>
  <c r="N31" i="1"/>
  <c r="R31" i="1"/>
  <c r="V31" i="1"/>
  <c r="F32" i="1"/>
  <c r="J32" i="1"/>
  <c r="N32" i="1"/>
  <c r="R32" i="1"/>
  <c r="V32" i="1"/>
  <c r="F33" i="1"/>
  <c r="J33" i="1"/>
  <c r="N33" i="1"/>
  <c r="R33" i="1"/>
  <c r="V33" i="1"/>
  <c r="F34" i="1"/>
  <c r="J34" i="1"/>
  <c r="N34" i="1"/>
  <c r="R34" i="1"/>
  <c r="V34" i="1"/>
  <c r="F35" i="1"/>
  <c r="J35" i="1"/>
  <c r="N35" i="1"/>
  <c r="R35" i="1"/>
  <c r="V35" i="1"/>
  <c r="F36" i="1"/>
  <c r="J36" i="1"/>
  <c r="N36" i="1"/>
  <c r="R36" i="1"/>
  <c r="V36" i="1"/>
  <c r="F37" i="1"/>
  <c r="J37" i="1"/>
  <c r="N37" i="1"/>
  <c r="R37" i="1"/>
  <c r="V37" i="1"/>
  <c r="F38" i="1"/>
  <c r="J38" i="1"/>
  <c r="N38" i="1"/>
  <c r="R38" i="1"/>
  <c r="V38" i="1"/>
  <c r="F39" i="1"/>
  <c r="J39" i="1"/>
  <c r="N39" i="1"/>
  <c r="R39" i="1"/>
  <c r="V39" i="1"/>
  <c r="F40" i="1"/>
  <c r="J40" i="1"/>
  <c r="N40" i="1"/>
  <c r="R40" i="1"/>
  <c r="V40" i="1"/>
  <c r="F41" i="1"/>
  <c r="J41" i="1"/>
  <c r="N41" i="1"/>
  <c r="R41" i="1"/>
  <c r="V41" i="1"/>
  <c r="F42" i="1"/>
  <c r="J42" i="1"/>
  <c r="N42" i="1"/>
  <c r="R42" i="1"/>
  <c r="V42" i="1"/>
  <c r="F43" i="1"/>
  <c r="J43" i="1"/>
  <c r="N43" i="1"/>
  <c r="R43" i="1"/>
  <c r="V43" i="1"/>
  <c r="F44" i="1"/>
  <c r="J44" i="1"/>
  <c r="N44" i="1"/>
  <c r="R44" i="1"/>
  <c r="V44" i="1"/>
  <c r="F45" i="1"/>
  <c r="J45" i="1"/>
  <c r="N45" i="1"/>
  <c r="R45" i="1"/>
  <c r="V45" i="1"/>
  <c r="F46" i="1"/>
  <c r="J46" i="1"/>
  <c r="N46" i="1"/>
  <c r="R46" i="1"/>
  <c r="V46" i="1"/>
  <c r="F47" i="1"/>
  <c r="J47" i="1"/>
  <c r="N47" i="1"/>
  <c r="R47" i="1"/>
  <c r="V47" i="1"/>
  <c r="F48" i="1"/>
  <c r="J48" i="1"/>
  <c r="N48" i="1"/>
  <c r="R48" i="1"/>
  <c r="V48" i="1"/>
  <c r="F49" i="1"/>
  <c r="J49" i="1"/>
  <c r="N49" i="1"/>
  <c r="R49" i="1"/>
  <c r="V49" i="1"/>
  <c r="F50" i="1"/>
  <c r="J50" i="1"/>
  <c r="N50" i="1"/>
  <c r="R50" i="1"/>
  <c r="V50" i="1"/>
  <c r="F51" i="1"/>
  <c r="J51" i="1"/>
  <c r="N51" i="1"/>
  <c r="R51" i="1"/>
  <c r="V51" i="1"/>
  <c r="F52" i="1"/>
  <c r="J52" i="1"/>
  <c r="N52" i="1"/>
  <c r="R52" i="1"/>
  <c r="V52" i="1"/>
  <c r="F53" i="1"/>
  <c r="J53" i="1"/>
  <c r="N53" i="1"/>
  <c r="R53" i="1"/>
  <c r="V53" i="1"/>
  <c r="F54" i="1"/>
  <c r="J54" i="1"/>
  <c r="N54" i="1"/>
  <c r="R54" i="1"/>
  <c r="V54" i="1"/>
  <c r="F55" i="1"/>
  <c r="J55" i="1"/>
  <c r="N55" i="1"/>
  <c r="R55" i="1"/>
  <c r="V55" i="1"/>
  <c r="F56" i="1"/>
  <c r="J56" i="1"/>
  <c r="N56" i="1"/>
  <c r="R56" i="1"/>
  <c r="V56" i="1"/>
  <c r="F57" i="1"/>
  <c r="J57" i="1"/>
  <c r="N57" i="1"/>
  <c r="R57" i="1"/>
  <c r="V57" i="1"/>
  <c r="F58" i="1"/>
  <c r="J58" i="1"/>
  <c r="N58" i="1"/>
  <c r="R58" i="1"/>
  <c r="V58" i="1"/>
  <c r="F59" i="1"/>
  <c r="J59" i="1"/>
  <c r="N59" i="1"/>
  <c r="R59" i="1"/>
  <c r="V59" i="1"/>
  <c r="F60" i="1"/>
  <c r="J60" i="1"/>
  <c r="N60" i="1"/>
  <c r="R60" i="1"/>
  <c r="V60" i="1"/>
  <c r="F61" i="1"/>
  <c r="J61" i="1"/>
  <c r="N61" i="1"/>
  <c r="R61" i="1"/>
  <c r="V61" i="1"/>
  <c r="F62" i="1"/>
  <c r="J62" i="1"/>
  <c r="N62" i="1"/>
  <c r="R62" i="1"/>
  <c r="V62" i="1"/>
  <c r="F63" i="1"/>
  <c r="J63" i="1"/>
  <c r="N63" i="1"/>
  <c r="R63" i="1"/>
  <c r="V63" i="1"/>
  <c r="F64" i="1"/>
  <c r="J64" i="1"/>
  <c r="N64" i="1"/>
  <c r="R64" i="1"/>
  <c r="V64" i="1"/>
  <c r="F65" i="1"/>
  <c r="J65" i="1"/>
  <c r="N65" i="1"/>
  <c r="R65" i="1"/>
  <c r="V65" i="1"/>
  <c r="F66" i="1"/>
  <c r="J66" i="1"/>
  <c r="N66" i="1"/>
  <c r="R66" i="1"/>
  <c r="V66" i="1"/>
  <c r="F67" i="1"/>
  <c r="J67" i="1"/>
  <c r="N67" i="1"/>
  <c r="R67" i="1"/>
  <c r="V67" i="1"/>
  <c r="F68" i="1"/>
  <c r="J68" i="1"/>
  <c r="N68" i="1"/>
  <c r="R68" i="1"/>
  <c r="V68" i="1"/>
  <c r="F69" i="1"/>
  <c r="J69" i="1"/>
  <c r="N69" i="1"/>
  <c r="R69" i="1"/>
  <c r="V69" i="1"/>
  <c r="F70" i="1"/>
  <c r="J70" i="1"/>
  <c r="N70" i="1"/>
  <c r="R70" i="1"/>
  <c r="V70" i="1"/>
  <c r="F71" i="1"/>
  <c r="J71" i="1"/>
  <c r="N71" i="1"/>
  <c r="R71" i="1"/>
  <c r="V71" i="1"/>
  <c r="F72" i="1"/>
  <c r="J72" i="1"/>
  <c r="N72" i="1"/>
  <c r="R72" i="1"/>
  <c r="V72" i="1"/>
  <c r="F73" i="1"/>
  <c r="J73" i="1"/>
  <c r="N73" i="1"/>
  <c r="R73" i="1"/>
  <c r="V73" i="1"/>
  <c r="V9" i="1"/>
  <c r="V10" i="1"/>
  <c r="V11" i="1"/>
  <c r="V12" i="1"/>
  <c r="V13" i="1"/>
  <c r="V14" i="1"/>
  <c r="V15" i="1"/>
  <c r="V16" i="1"/>
  <c r="V8" i="1"/>
  <c r="W8" i="1" s="1"/>
  <c r="X8" i="1" s="1"/>
  <c r="Y8" i="1" s="1"/>
  <c r="R9" i="1"/>
  <c r="R10" i="1"/>
  <c r="R11" i="1"/>
  <c r="R12" i="1"/>
  <c r="R13" i="1"/>
  <c r="R14" i="1"/>
  <c r="R15" i="1"/>
  <c r="R16" i="1"/>
  <c r="R8" i="1"/>
  <c r="S8" i="1" s="1"/>
  <c r="T8" i="1" s="1"/>
  <c r="U8" i="1" s="1"/>
  <c r="N9" i="1"/>
  <c r="N10" i="1"/>
  <c r="N11" i="1"/>
  <c r="N12" i="1"/>
  <c r="N13" i="1"/>
  <c r="N14" i="1"/>
  <c r="N15" i="1"/>
  <c r="N16" i="1"/>
  <c r="N8" i="1"/>
  <c r="O8" i="1" s="1"/>
  <c r="P8" i="1" s="1"/>
  <c r="Q8" i="1" s="1"/>
  <c r="J9" i="1"/>
  <c r="J10" i="1"/>
  <c r="J11" i="1"/>
  <c r="J12" i="1"/>
  <c r="J13" i="1"/>
  <c r="J14" i="1"/>
  <c r="J15" i="1"/>
  <c r="J16" i="1"/>
  <c r="J8" i="1"/>
  <c r="K8" i="1" s="1"/>
  <c r="L8" i="1" s="1"/>
  <c r="M8" i="1" s="1"/>
  <c r="F9" i="1"/>
  <c r="F10" i="1"/>
  <c r="F11" i="1"/>
  <c r="F12" i="1"/>
  <c r="F13" i="1"/>
  <c r="F14" i="1"/>
  <c r="F15" i="1"/>
  <c r="F16" i="1"/>
  <c r="F8" i="1"/>
  <c r="G8" i="1" s="1"/>
  <c r="H8" i="1" s="1"/>
  <c r="I8" i="1" s="1"/>
  <c r="AC1172" i="2"/>
  <c r="AD1172" i="2" s="1"/>
  <c r="AC1171" i="2"/>
  <c r="AD1171" i="2" s="1"/>
  <c r="AC1170" i="2"/>
  <c r="AD1170" i="2" s="1"/>
  <c r="AC1169" i="2"/>
  <c r="AD1169" i="2" s="1"/>
  <c r="AD1168" i="2"/>
  <c r="AC1168" i="2"/>
  <c r="AC1167" i="2"/>
  <c r="AD1167" i="2" s="1"/>
  <c r="AC1166" i="2"/>
  <c r="AD1166" i="2" s="1"/>
  <c r="AC1165" i="2"/>
  <c r="AD1165" i="2" s="1"/>
  <c r="AC1164" i="2"/>
  <c r="AD1164" i="2" s="1"/>
  <c r="AC1163" i="2"/>
  <c r="AD1163" i="2" s="1"/>
  <c r="AC1162" i="2"/>
  <c r="AD1162" i="2" s="1"/>
  <c r="AD1161" i="2"/>
  <c r="AC1161" i="2"/>
  <c r="AC1160" i="2"/>
  <c r="AD1160" i="2" s="1"/>
  <c r="AC1159" i="2"/>
  <c r="AD1159" i="2" s="1"/>
  <c r="AC1158" i="2"/>
  <c r="AD1158" i="2" s="1"/>
  <c r="AC1157" i="2"/>
  <c r="AD1157" i="2" s="1"/>
  <c r="AC1156" i="2"/>
  <c r="AD1156" i="2" s="1"/>
  <c r="AC1155" i="2"/>
  <c r="AD1155" i="2" s="1"/>
  <c r="AD1154" i="2"/>
  <c r="AC1154" i="2"/>
  <c r="AD1153" i="2"/>
  <c r="AC1153" i="2"/>
  <c r="AC1152" i="2"/>
  <c r="AD1152" i="2" s="1"/>
  <c r="AC1151" i="2"/>
  <c r="AD1151" i="2" s="1"/>
  <c r="AC1150" i="2"/>
  <c r="AD1150" i="2" s="1"/>
  <c r="AC1149" i="2"/>
  <c r="AD1149" i="2" s="1"/>
  <c r="AC1148" i="2"/>
  <c r="AD1148" i="2" s="1"/>
  <c r="AD1147" i="2"/>
  <c r="AC1147" i="2"/>
  <c r="AC1146" i="2"/>
  <c r="AD1146" i="2" s="1"/>
  <c r="AC1145" i="2"/>
  <c r="AD1145" i="2" s="1"/>
  <c r="AC1144" i="2"/>
  <c r="AD1144" i="2" s="1"/>
  <c r="AC1143" i="2"/>
  <c r="AD1143" i="2" s="1"/>
  <c r="AC1142" i="2"/>
  <c r="AD1142" i="2" s="1"/>
  <c r="AD1141" i="2"/>
  <c r="AC1141" i="2"/>
  <c r="AC1140" i="2"/>
  <c r="AD1140" i="2" s="1"/>
  <c r="AC1139" i="2"/>
  <c r="AD1139" i="2" s="1"/>
  <c r="AC1138" i="2"/>
  <c r="AD1138" i="2" s="1"/>
  <c r="AC1137" i="2"/>
  <c r="AD1137" i="2" s="1"/>
  <c r="AC1136" i="2"/>
  <c r="AD1136" i="2" s="1"/>
  <c r="AC1135" i="2"/>
  <c r="AD1135" i="2" s="1"/>
  <c r="AD1134" i="2"/>
  <c r="AC1134" i="2"/>
  <c r="AC1133" i="2"/>
  <c r="AD1133" i="2" s="1"/>
  <c r="AC1132" i="2"/>
  <c r="AD1132" i="2" s="1"/>
  <c r="AD1131" i="2"/>
  <c r="AC1131" i="2"/>
  <c r="AC1130" i="2"/>
  <c r="AD1130" i="2" s="1"/>
  <c r="AC1129" i="2"/>
  <c r="AD1129" i="2" s="1"/>
  <c r="AC1128" i="2"/>
  <c r="AD1128" i="2" s="1"/>
  <c r="AD1127" i="2"/>
  <c r="AC1127" i="2"/>
  <c r="AD1126" i="2"/>
  <c r="AC1126" i="2"/>
  <c r="AC1125" i="2"/>
  <c r="AD1125" i="2" s="1"/>
  <c r="AD1124" i="2"/>
  <c r="AC1124" i="2"/>
  <c r="AC1123" i="2"/>
  <c r="AD1123" i="2" s="1"/>
  <c r="AC1122" i="2"/>
  <c r="AD1122" i="2" s="1"/>
  <c r="AC1121" i="2"/>
  <c r="AD1121" i="2" s="1"/>
  <c r="AD1120" i="2"/>
  <c r="AC1120" i="2"/>
  <c r="AC1119" i="2"/>
  <c r="AD1119" i="2" s="1"/>
  <c r="AC1118" i="2"/>
  <c r="AD1118" i="2" s="1"/>
  <c r="AD1117" i="2"/>
  <c r="AC1117" i="2"/>
  <c r="AC1116" i="2"/>
  <c r="AD1116" i="2" s="1"/>
  <c r="AC1115" i="2"/>
  <c r="AD1115" i="2" s="1"/>
  <c r="AC1114" i="2"/>
  <c r="AD1114" i="2" s="1"/>
  <c r="AC1113" i="2"/>
  <c r="AD1113" i="2" s="1"/>
  <c r="AC1112" i="2"/>
  <c r="AD1112" i="2" s="1"/>
  <c r="AC1111" i="2"/>
  <c r="AD1111" i="2" s="1"/>
  <c r="AD1110" i="2"/>
  <c r="AC1110" i="2"/>
  <c r="AC1109" i="2"/>
  <c r="AD1109" i="2" s="1"/>
  <c r="AC1108" i="2"/>
  <c r="AD1108" i="2" s="1"/>
  <c r="AC1107" i="2"/>
  <c r="AD1107" i="2" s="1"/>
  <c r="AC1106" i="2"/>
  <c r="AD1106" i="2" s="1"/>
  <c r="AC1105" i="2"/>
  <c r="AD1105" i="2" s="1"/>
  <c r="AC1104" i="2"/>
  <c r="AD1104" i="2" s="1"/>
  <c r="AD1103" i="2"/>
  <c r="AC1103" i="2"/>
  <c r="AC1102" i="2"/>
  <c r="AD1102" i="2" s="1"/>
  <c r="AC1101" i="2"/>
  <c r="AD1101" i="2" s="1"/>
  <c r="AC1100" i="2"/>
  <c r="AD1100" i="2" s="1"/>
  <c r="AD1099" i="2"/>
  <c r="AC1099" i="2"/>
  <c r="AD1098" i="2"/>
  <c r="AC1098" i="2"/>
  <c r="AD1097" i="2"/>
  <c r="AC1097" i="2"/>
  <c r="AC1096" i="2"/>
  <c r="AD1096" i="2" s="1"/>
  <c r="AC1095" i="2"/>
  <c r="AD1095" i="2" s="1"/>
  <c r="AC1094" i="2"/>
  <c r="AD1094" i="2" s="1"/>
  <c r="AC1093" i="2"/>
  <c r="AD1093" i="2" s="1"/>
  <c r="AC1092" i="2"/>
  <c r="AD1092" i="2" s="1"/>
  <c r="AC1091" i="2"/>
  <c r="AD1091" i="2" s="1"/>
  <c r="AD1090" i="2"/>
  <c r="AC1090" i="2"/>
  <c r="AC1089" i="2"/>
  <c r="AD1089" i="2" s="1"/>
  <c r="AC1088" i="2"/>
  <c r="AD1088" i="2" s="1"/>
  <c r="AC1087" i="2"/>
  <c r="AD1087" i="2" s="1"/>
  <c r="AC1086" i="2"/>
  <c r="AD1086" i="2" s="1"/>
  <c r="AC1085" i="2"/>
  <c r="AD1085" i="2" s="1"/>
  <c r="AC1084" i="2"/>
  <c r="AD1084" i="2" s="1"/>
  <c r="AD1083" i="2"/>
  <c r="AC1083" i="2"/>
  <c r="AD1082" i="2"/>
  <c r="AC1082" i="2"/>
  <c r="AC1081" i="2"/>
  <c r="AD1081" i="2" s="1"/>
  <c r="AC1080" i="2"/>
  <c r="AD1080" i="2" s="1"/>
  <c r="AC1079" i="2"/>
  <c r="AD1079" i="2" s="1"/>
  <c r="AC1078" i="2"/>
  <c r="AD1078" i="2" s="1"/>
  <c r="AC1077" i="2"/>
  <c r="AD1077" i="2" s="1"/>
  <c r="AD1076" i="2"/>
  <c r="AC1076" i="2"/>
  <c r="AD1075" i="2"/>
  <c r="AC1075" i="2"/>
  <c r="AC1074" i="2"/>
  <c r="AD1074" i="2" s="1"/>
  <c r="AC1073" i="2"/>
  <c r="AD1073" i="2" s="1"/>
  <c r="AC1072" i="2"/>
  <c r="AD1072" i="2" s="1"/>
  <c r="AD1071" i="2"/>
  <c r="AC1071" i="2"/>
  <c r="AC1070" i="2"/>
  <c r="AD1070" i="2" s="1"/>
  <c r="AC1069" i="2"/>
  <c r="AD1069" i="2" s="1"/>
  <c r="AC1068" i="2"/>
  <c r="AD1068" i="2" s="1"/>
  <c r="AC1067" i="2"/>
  <c r="AD1067" i="2" s="1"/>
  <c r="AC1066" i="2"/>
  <c r="AD1066" i="2" s="1"/>
  <c r="AC1065" i="2"/>
  <c r="AD1065" i="2" s="1"/>
  <c r="AC1064" i="2"/>
  <c r="AD1064" i="2" s="1"/>
  <c r="AD1063" i="2"/>
  <c r="AC1063" i="2"/>
  <c r="AC1062" i="2"/>
  <c r="AD1062" i="2" s="1"/>
  <c r="AC1061" i="2"/>
  <c r="AD1061" i="2" s="1"/>
  <c r="AC1060" i="2"/>
  <c r="AD1060" i="2" s="1"/>
  <c r="AC1059" i="2"/>
  <c r="AD1059" i="2" s="1"/>
  <c r="AC1058" i="2"/>
  <c r="AD1058" i="2" s="1"/>
  <c r="AD1057" i="2"/>
  <c r="AC1057" i="2"/>
  <c r="AD1056" i="2"/>
  <c r="AC1056" i="2"/>
  <c r="AD1055" i="2"/>
  <c r="AC1055" i="2"/>
  <c r="AD1054" i="2"/>
  <c r="AC1054" i="2"/>
  <c r="AC1053" i="2"/>
  <c r="AD1053" i="2" s="1"/>
  <c r="AC1052" i="2"/>
  <c r="AD1052" i="2" s="1"/>
  <c r="AC1051" i="2"/>
  <c r="AD1051" i="2" s="1"/>
  <c r="AD1050" i="2"/>
  <c r="AC1050" i="2"/>
  <c r="AC1049" i="2"/>
  <c r="AD1049" i="2" s="1"/>
  <c r="AC1048" i="2"/>
  <c r="AD1048" i="2" s="1"/>
  <c r="AC1047" i="2"/>
  <c r="AD1047" i="2" s="1"/>
  <c r="AC1046" i="2"/>
  <c r="AD1046" i="2" s="1"/>
  <c r="AC1045" i="2"/>
  <c r="AD1045" i="2" s="1"/>
  <c r="AC1044" i="2"/>
  <c r="AD1044" i="2" s="1"/>
  <c r="AC1043" i="2"/>
  <c r="AD1043" i="2" s="1"/>
  <c r="AD1042" i="2"/>
  <c r="AC1042" i="2"/>
  <c r="AD1041" i="2"/>
  <c r="AC1041" i="2"/>
  <c r="AC1040" i="2"/>
  <c r="AD1040" i="2" s="1"/>
  <c r="AC1039" i="2"/>
  <c r="AD1039" i="2" s="1"/>
  <c r="AC1038" i="2"/>
  <c r="AD1038" i="2" s="1"/>
  <c r="AC1037" i="2"/>
  <c r="AD1037" i="2" s="1"/>
  <c r="AD1036" i="2"/>
  <c r="AC1036" i="2"/>
  <c r="AC1035" i="2"/>
  <c r="AD1035" i="2" s="1"/>
  <c r="AC1034" i="2"/>
  <c r="AD1034" i="2" s="1"/>
  <c r="AC1033" i="2"/>
  <c r="AD1033" i="2" s="1"/>
  <c r="AC1032" i="2"/>
  <c r="AD1032" i="2" s="1"/>
  <c r="AC1031" i="2"/>
  <c r="AD1031" i="2" s="1"/>
  <c r="AC1030" i="2"/>
  <c r="AD1030" i="2" s="1"/>
  <c r="AD1029" i="2"/>
  <c r="AC1029" i="2"/>
  <c r="AD1028" i="2"/>
  <c r="AC1028" i="2"/>
  <c r="AD1027" i="2"/>
  <c r="AC1027" i="2"/>
  <c r="AC1026" i="2"/>
  <c r="AD1026" i="2" s="1"/>
  <c r="AC1025" i="2"/>
  <c r="AD1025" i="2" s="1"/>
  <c r="AC1024" i="2"/>
  <c r="AD1024" i="2" s="1"/>
  <c r="AC1023" i="2"/>
  <c r="AD1023" i="2" s="1"/>
  <c r="AD1022" i="2"/>
  <c r="AC1022" i="2"/>
  <c r="AD1021" i="2"/>
  <c r="AC1021" i="2"/>
  <c r="AC1020" i="2"/>
  <c r="AD1020" i="2" s="1"/>
  <c r="AD1019" i="2"/>
  <c r="AC1019" i="2"/>
  <c r="AC1018" i="2"/>
  <c r="AD1018" i="2" s="1"/>
  <c r="AC1017" i="2"/>
  <c r="AD1017" i="2" s="1"/>
  <c r="AC1016" i="2"/>
  <c r="AD1016" i="2" s="1"/>
  <c r="AC1015" i="2"/>
  <c r="AD1015" i="2" s="1"/>
  <c r="AD1014" i="2"/>
  <c r="AC1014" i="2"/>
  <c r="AD1013" i="2"/>
  <c r="AC1013" i="2"/>
  <c r="AD1012" i="2"/>
  <c r="AC1012" i="2"/>
  <c r="AC1011" i="2"/>
  <c r="AD1011" i="2" s="1"/>
  <c r="AC1010" i="2"/>
  <c r="AD1010" i="2" s="1"/>
  <c r="AC1009" i="2"/>
  <c r="AD1009" i="2" s="1"/>
  <c r="AC1008" i="2"/>
  <c r="AD1008" i="2" s="1"/>
  <c r="AC1007" i="2"/>
  <c r="AD1007" i="2" s="1"/>
  <c r="AD1006" i="2"/>
  <c r="AC1006" i="2"/>
  <c r="AC1005" i="2"/>
  <c r="AD1005" i="2" s="1"/>
  <c r="AC1004" i="2"/>
  <c r="AD1004" i="2" s="1"/>
  <c r="AC1003" i="2"/>
  <c r="AD1003" i="2" s="1"/>
  <c r="AC1002" i="2"/>
  <c r="AD1002" i="2" s="1"/>
  <c r="AD1001" i="2"/>
  <c r="AC1001" i="2"/>
  <c r="AD1000" i="2"/>
  <c r="AC1000" i="2"/>
  <c r="AC999" i="2"/>
  <c r="AD999" i="2" s="1"/>
  <c r="AC998" i="2"/>
  <c r="AD998" i="2" s="1"/>
  <c r="AC997" i="2"/>
  <c r="AD997" i="2" s="1"/>
  <c r="AC996" i="2"/>
  <c r="AD996" i="2" s="1"/>
  <c r="AC995" i="2"/>
  <c r="AD995" i="2" s="1"/>
  <c r="AC994" i="2"/>
  <c r="AD994" i="2" s="1"/>
  <c r="AC993" i="2"/>
  <c r="AD993" i="2" s="1"/>
  <c r="AD992" i="2"/>
  <c r="AC992" i="2"/>
  <c r="AC991" i="2"/>
  <c r="AD991" i="2" s="1"/>
  <c r="AC990" i="2"/>
  <c r="AD990" i="2" s="1"/>
  <c r="AC989" i="2"/>
  <c r="AD989" i="2" s="1"/>
  <c r="AC988" i="2"/>
  <c r="AD988" i="2" s="1"/>
  <c r="AC987" i="2"/>
  <c r="AD987" i="2" s="1"/>
  <c r="AD986" i="2"/>
  <c r="AC986" i="2"/>
  <c r="AD985" i="2"/>
  <c r="AC985" i="2"/>
  <c r="AD984" i="2"/>
  <c r="AC984" i="2"/>
  <c r="AC983" i="2"/>
  <c r="AD983" i="2" s="1"/>
  <c r="AC982" i="2"/>
  <c r="AD982" i="2" s="1"/>
  <c r="AC981" i="2"/>
  <c r="AD981" i="2" s="1"/>
  <c r="AC980" i="2"/>
  <c r="AD980" i="2" s="1"/>
  <c r="AC979" i="2"/>
  <c r="AD979" i="2" s="1"/>
  <c r="AC978" i="2"/>
  <c r="AD978" i="2" s="1"/>
  <c r="AD977" i="2"/>
  <c r="AC977" i="2"/>
  <c r="AC976" i="2"/>
  <c r="AD976" i="2" s="1"/>
  <c r="AC975" i="2"/>
  <c r="AD975" i="2" s="1"/>
  <c r="AC974" i="2"/>
  <c r="AD974" i="2" s="1"/>
  <c r="AD973" i="2"/>
  <c r="AC973" i="2"/>
  <c r="AC972" i="2"/>
  <c r="AD972" i="2" s="1"/>
  <c r="AD971" i="2"/>
  <c r="AC971" i="2"/>
  <c r="AC970" i="2"/>
  <c r="AD970" i="2" s="1"/>
  <c r="AC969" i="2"/>
  <c r="AD969" i="2" s="1"/>
  <c r="AC968" i="2"/>
  <c r="AD968" i="2" s="1"/>
  <c r="AC967" i="2"/>
  <c r="AD967" i="2" s="1"/>
  <c r="AC966" i="2"/>
  <c r="AD966" i="2" s="1"/>
  <c r="AD965" i="2"/>
  <c r="AC965" i="2"/>
  <c r="AC964" i="2"/>
  <c r="AD964" i="2" s="1"/>
  <c r="AC963" i="2"/>
  <c r="AD963" i="2" s="1"/>
  <c r="AC962" i="2"/>
  <c r="AD962" i="2" s="1"/>
  <c r="AC961" i="2"/>
  <c r="AD961" i="2" s="1"/>
  <c r="AC960" i="2"/>
  <c r="AD960" i="2" s="1"/>
  <c r="AD959" i="2"/>
  <c r="AC959" i="2"/>
  <c r="AD958" i="2"/>
  <c r="AC958" i="2"/>
  <c r="AD957" i="2"/>
  <c r="AC957" i="2"/>
  <c r="AD956" i="2"/>
  <c r="AC956" i="2"/>
  <c r="AC955" i="2"/>
  <c r="AD955" i="2" s="1"/>
  <c r="AC954" i="2"/>
  <c r="AD954" i="2" s="1"/>
  <c r="AC953" i="2"/>
  <c r="AD953" i="2" s="1"/>
  <c r="AC952" i="2"/>
  <c r="AD952" i="2" s="1"/>
  <c r="AD951" i="2"/>
  <c r="AC951" i="2"/>
  <c r="AC950" i="2"/>
  <c r="AD950" i="2" s="1"/>
  <c r="AC949" i="2"/>
  <c r="AD949" i="2" s="1"/>
  <c r="AC948" i="2"/>
  <c r="AD948" i="2" s="1"/>
  <c r="AC947" i="2"/>
  <c r="AD947" i="2" s="1"/>
  <c r="AC946" i="2"/>
  <c r="AD946" i="2" s="1"/>
  <c r="AC945" i="2"/>
  <c r="AD945" i="2" s="1"/>
  <c r="AC944" i="2"/>
  <c r="AD944" i="2" s="1"/>
  <c r="AD943" i="2"/>
  <c r="AC943" i="2"/>
  <c r="AD942" i="2"/>
  <c r="AC942" i="2"/>
  <c r="AC941" i="2"/>
  <c r="AD941" i="2" s="1"/>
  <c r="AC940" i="2"/>
  <c r="AD940" i="2" s="1"/>
  <c r="AC939" i="2"/>
  <c r="AD939" i="2" s="1"/>
  <c r="AD938" i="2"/>
  <c r="AC938" i="2"/>
  <c r="AC937" i="2"/>
  <c r="AD937" i="2" s="1"/>
  <c r="AC936" i="2"/>
  <c r="AD936" i="2" s="1"/>
  <c r="AD935" i="2"/>
  <c r="AC935" i="2"/>
  <c r="AC934" i="2"/>
  <c r="AD934" i="2" s="1"/>
  <c r="AC933" i="2"/>
  <c r="AD933" i="2" s="1"/>
  <c r="AC932" i="2"/>
  <c r="AD932" i="2" s="1"/>
  <c r="AD931" i="2"/>
  <c r="AC931" i="2"/>
  <c r="AD930" i="2"/>
  <c r="AC930" i="2"/>
  <c r="AD929" i="2"/>
  <c r="AC929" i="2"/>
  <c r="AC928" i="2"/>
  <c r="AD928" i="2" s="1"/>
  <c r="AC927" i="2"/>
  <c r="AD927" i="2" s="1"/>
  <c r="AC926" i="2"/>
  <c r="AD926" i="2" s="1"/>
  <c r="AC925" i="2"/>
  <c r="AD925" i="2" s="1"/>
  <c r="AC924" i="2"/>
  <c r="AD924" i="2" s="1"/>
  <c r="AD923" i="2"/>
  <c r="AC923" i="2"/>
  <c r="AC922" i="2"/>
  <c r="AD922" i="2" s="1"/>
  <c r="AD921" i="2"/>
  <c r="AC921" i="2"/>
  <c r="AC920" i="2"/>
  <c r="AD920" i="2" s="1"/>
  <c r="AC919" i="2"/>
  <c r="AD919" i="2" s="1"/>
  <c r="AC918" i="2"/>
  <c r="AD918" i="2" s="1"/>
  <c r="AC917" i="2"/>
  <c r="AD917" i="2" s="1"/>
  <c r="AC916" i="2"/>
  <c r="AD916" i="2" s="1"/>
  <c r="AD915" i="2"/>
  <c r="AC915" i="2"/>
  <c r="AD914" i="2"/>
  <c r="AC914" i="2"/>
  <c r="AC913" i="2"/>
  <c r="AD913" i="2" s="1"/>
  <c r="AC912" i="2"/>
  <c r="AD912" i="2" s="1"/>
  <c r="AC911" i="2"/>
  <c r="AD911" i="2" s="1"/>
  <c r="AC910" i="2"/>
  <c r="AD910" i="2" s="1"/>
  <c r="AC909" i="2"/>
  <c r="AD909" i="2" s="1"/>
  <c r="AC908" i="2"/>
  <c r="AD908" i="2" s="1"/>
  <c r="AD907" i="2"/>
  <c r="AC907" i="2"/>
  <c r="AC906" i="2"/>
  <c r="AD906" i="2" s="1"/>
  <c r="AC905" i="2"/>
  <c r="AD905" i="2" s="1"/>
  <c r="AC904" i="2"/>
  <c r="AD904" i="2" s="1"/>
  <c r="AD903" i="2"/>
  <c r="AC903" i="2"/>
  <c r="AD902" i="2"/>
  <c r="AC902" i="2"/>
  <c r="AC901" i="2"/>
  <c r="AD901" i="2" s="1"/>
  <c r="AC900" i="2"/>
  <c r="AD900" i="2" s="1"/>
  <c r="AC899" i="2"/>
  <c r="AD899" i="2" s="1"/>
  <c r="AC898" i="2"/>
  <c r="AD898" i="2" s="1"/>
  <c r="AC897" i="2"/>
  <c r="AD897" i="2" s="1"/>
  <c r="AC896" i="2"/>
  <c r="AD896" i="2" s="1"/>
  <c r="AC895" i="2"/>
  <c r="AD895" i="2" s="1"/>
  <c r="AD894" i="2"/>
  <c r="AC894" i="2"/>
  <c r="AC893" i="2"/>
  <c r="AD893" i="2" s="1"/>
  <c r="AC892" i="2"/>
  <c r="AD892" i="2" s="1"/>
  <c r="AC891" i="2"/>
  <c r="AD891" i="2" s="1"/>
  <c r="AC890" i="2"/>
  <c r="AD890" i="2" s="1"/>
  <c r="AC889" i="2"/>
  <c r="AD889" i="2" s="1"/>
  <c r="AC888" i="2"/>
  <c r="AD888" i="2" s="1"/>
  <c r="AD887" i="2"/>
  <c r="AC887" i="2"/>
  <c r="AD886" i="2"/>
  <c r="AC886" i="2"/>
  <c r="AC885" i="2"/>
  <c r="AD885" i="2" s="1"/>
  <c r="AC884" i="2"/>
  <c r="AD884" i="2" s="1"/>
  <c r="AC883" i="2"/>
  <c r="AD883" i="2" s="1"/>
  <c r="AC882" i="2"/>
  <c r="AD882" i="2" s="1"/>
  <c r="AD881" i="2"/>
  <c r="AC881" i="2"/>
  <c r="AC880" i="2"/>
  <c r="AD880" i="2" s="1"/>
  <c r="AC879" i="2"/>
  <c r="AD879" i="2" s="1"/>
  <c r="AC878" i="2"/>
  <c r="AD878" i="2" s="1"/>
  <c r="AC877" i="2"/>
  <c r="AD877" i="2" s="1"/>
  <c r="AC876" i="2"/>
  <c r="AD876" i="2" s="1"/>
  <c r="AD875" i="2"/>
  <c r="AC875" i="2"/>
  <c r="AC874" i="2"/>
  <c r="AD874" i="2" s="1"/>
  <c r="AC873" i="2"/>
  <c r="AD873" i="2" s="1"/>
  <c r="AD872" i="2"/>
  <c r="AC872" i="2"/>
  <c r="AC871" i="2"/>
  <c r="AD871" i="2" s="1"/>
  <c r="AC870" i="2"/>
  <c r="AD870" i="2" s="1"/>
  <c r="AC869" i="2"/>
  <c r="AD869" i="2" s="1"/>
  <c r="AC868" i="2"/>
  <c r="AD868" i="2" s="1"/>
  <c r="AD867" i="2"/>
  <c r="AC867" i="2"/>
  <c r="AC866" i="2"/>
  <c r="AD866" i="2" s="1"/>
  <c r="AC865" i="2"/>
  <c r="AD865" i="2" s="1"/>
  <c r="AC864" i="2"/>
  <c r="AD864" i="2" s="1"/>
  <c r="AC863" i="2"/>
  <c r="AD863" i="2" s="1"/>
  <c r="AC862" i="2"/>
  <c r="AD862" i="2" s="1"/>
  <c r="AD861" i="2"/>
  <c r="AC861" i="2"/>
  <c r="AD860" i="2"/>
  <c r="AC860" i="2"/>
  <c r="AD859" i="2"/>
  <c r="AC859" i="2"/>
  <c r="AD858" i="2"/>
  <c r="AC858" i="2"/>
  <c r="AC857" i="2"/>
  <c r="AD857" i="2" s="1"/>
  <c r="AC856" i="2"/>
  <c r="AD856" i="2" s="1"/>
  <c r="AC855" i="2"/>
  <c r="AD855" i="2" s="1"/>
  <c r="AC854" i="2"/>
  <c r="AD854" i="2" s="1"/>
  <c r="AC853" i="2"/>
  <c r="AD853" i="2" s="1"/>
  <c r="AD852" i="2"/>
  <c r="AC852" i="2"/>
  <c r="AC851" i="2"/>
  <c r="AD851" i="2" s="1"/>
  <c r="AC850" i="2"/>
  <c r="AD850" i="2" s="1"/>
  <c r="AC849" i="2"/>
  <c r="AD849" i="2" s="1"/>
  <c r="AC848" i="2"/>
  <c r="AD848" i="2" s="1"/>
  <c r="AC847" i="2"/>
  <c r="AD847" i="2" s="1"/>
  <c r="AC846" i="2"/>
  <c r="AD846" i="2" s="1"/>
  <c r="AC845" i="2"/>
  <c r="AD845" i="2" s="1"/>
  <c r="AD844" i="2"/>
  <c r="AC844" i="2"/>
  <c r="AC843" i="2"/>
  <c r="AD843" i="2" s="1"/>
  <c r="AC842" i="2"/>
  <c r="AD842" i="2" s="1"/>
  <c r="AC841" i="2"/>
  <c r="AD841" i="2" s="1"/>
  <c r="AD840" i="2"/>
  <c r="AC840" i="2"/>
  <c r="AC839" i="2"/>
  <c r="AD839" i="2" s="1"/>
  <c r="AC838" i="2"/>
  <c r="AD838" i="2" s="1"/>
  <c r="AD837" i="2"/>
  <c r="AC837" i="2"/>
  <c r="AC836" i="2"/>
  <c r="AD836" i="2" s="1"/>
  <c r="AC835" i="2"/>
  <c r="AD835" i="2" s="1"/>
  <c r="AC834" i="2"/>
  <c r="AD834" i="2" s="1"/>
  <c r="AD833" i="2"/>
  <c r="AC833" i="2"/>
  <c r="AD832" i="2"/>
  <c r="AC832" i="2"/>
  <c r="AD831" i="2"/>
  <c r="AC831" i="2"/>
  <c r="AC830" i="2"/>
  <c r="AD830" i="2" s="1"/>
  <c r="AC829" i="2"/>
  <c r="AD829" i="2" s="1"/>
  <c r="AC828" i="2"/>
  <c r="AD828" i="2" s="1"/>
  <c r="AC827" i="2"/>
  <c r="AD827" i="2" s="1"/>
  <c r="AC826" i="2"/>
  <c r="AD826" i="2" s="1"/>
  <c r="AD825" i="2"/>
  <c r="AC825" i="2"/>
  <c r="AC824" i="2"/>
  <c r="AD824" i="2" s="1"/>
  <c r="AD823" i="2"/>
  <c r="AC823" i="2"/>
  <c r="AC822" i="2"/>
  <c r="AD822" i="2" s="1"/>
  <c r="AC821" i="2"/>
  <c r="AD821" i="2" s="1"/>
  <c r="AC820" i="2"/>
  <c r="AD820" i="2" s="1"/>
  <c r="AD819" i="2"/>
  <c r="AC819" i="2"/>
  <c r="AC818" i="2"/>
  <c r="AD818" i="2" s="1"/>
  <c r="AC817" i="2"/>
  <c r="AD817" i="2" s="1"/>
  <c r="AD816" i="2"/>
  <c r="AC816" i="2"/>
  <c r="AC815" i="2"/>
  <c r="AD815" i="2" s="1"/>
  <c r="AC814" i="2"/>
  <c r="AD814" i="2" s="1"/>
  <c r="AC813" i="2"/>
  <c r="AD813" i="2" s="1"/>
  <c r="AC812" i="2"/>
  <c r="AD812" i="2" s="1"/>
  <c r="AD811" i="2"/>
  <c r="AC811" i="2"/>
  <c r="AD810" i="2"/>
  <c r="AC810" i="2"/>
  <c r="AC809" i="2"/>
  <c r="AD809" i="2" s="1"/>
  <c r="AC808" i="2"/>
  <c r="AD808" i="2" s="1"/>
  <c r="AC807" i="2"/>
  <c r="AD807" i="2" s="1"/>
  <c r="AC806" i="2"/>
  <c r="AD806" i="2" s="1"/>
  <c r="AD805" i="2"/>
  <c r="AC805" i="2"/>
  <c r="AD804" i="2"/>
  <c r="AC804" i="2"/>
  <c r="AC803" i="2"/>
  <c r="AD803" i="2" s="1"/>
  <c r="AD802" i="2"/>
  <c r="AC802" i="2"/>
  <c r="AC801" i="2"/>
  <c r="AD801" i="2" s="1"/>
  <c r="AC800" i="2"/>
  <c r="AD800" i="2" s="1"/>
  <c r="AC799" i="2"/>
  <c r="AD799" i="2" s="1"/>
  <c r="AD798" i="2"/>
  <c r="AC798" i="2"/>
  <c r="AC797" i="2"/>
  <c r="AD797" i="2" s="1"/>
  <c r="AD796" i="2"/>
  <c r="AC796" i="2"/>
  <c r="AC795" i="2"/>
  <c r="AD795" i="2" s="1"/>
  <c r="AC794" i="2"/>
  <c r="AD794" i="2" s="1"/>
  <c r="AC793" i="2"/>
  <c r="AD793" i="2" s="1"/>
  <c r="AC792" i="2"/>
  <c r="AD792" i="2" s="1"/>
  <c r="AD791" i="2"/>
  <c r="AC791" i="2"/>
  <c r="AD790" i="2"/>
  <c r="AC790" i="2"/>
  <c r="AD789" i="2"/>
  <c r="AC789" i="2"/>
  <c r="AD788" i="2"/>
  <c r="AC788" i="2"/>
  <c r="AC787" i="2"/>
  <c r="AD787" i="2" s="1"/>
  <c r="AC786" i="2"/>
  <c r="AD786" i="2" s="1"/>
  <c r="AC785" i="2"/>
  <c r="AD785" i="2" s="1"/>
  <c r="AC784" i="2"/>
  <c r="AD784" i="2" s="1"/>
  <c r="AD783" i="2"/>
  <c r="AC783" i="2"/>
  <c r="AC782" i="2"/>
  <c r="AD782" i="2" s="1"/>
  <c r="AC781" i="2"/>
  <c r="AD781" i="2" s="1"/>
  <c r="AC780" i="2"/>
  <c r="AD780" i="2" s="1"/>
  <c r="AC779" i="2"/>
  <c r="AD779" i="2" s="1"/>
  <c r="AC778" i="2"/>
  <c r="AD778" i="2" s="1"/>
  <c r="AD777" i="2"/>
  <c r="AC777" i="2"/>
  <c r="AC776" i="2"/>
  <c r="AD776" i="2" s="1"/>
  <c r="AC775" i="2"/>
  <c r="AD775" i="2" s="1"/>
  <c r="AD774" i="2"/>
  <c r="AC774" i="2"/>
  <c r="AC773" i="2"/>
  <c r="AD773" i="2" s="1"/>
  <c r="AC772" i="2"/>
  <c r="AD772" i="2" s="1"/>
  <c r="AC771" i="2"/>
  <c r="AD771" i="2" s="1"/>
  <c r="AC770" i="2"/>
  <c r="AD770" i="2" s="1"/>
  <c r="AD769" i="2"/>
  <c r="AC769" i="2"/>
  <c r="AC768" i="2"/>
  <c r="AD768" i="2" s="1"/>
  <c r="AC767" i="2"/>
  <c r="AD767" i="2" s="1"/>
  <c r="AC766" i="2"/>
  <c r="AD766" i="2" s="1"/>
  <c r="AC765" i="2"/>
  <c r="AD765" i="2" s="1"/>
  <c r="AC764" i="2"/>
  <c r="AD764" i="2" s="1"/>
  <c r="AD763" i="2"/>
  <c r="AC763" i="2"/>
  <c r="AD762" i="2"/>
  <c r="AC762" i="2"/>
  <c r="AC761" i="2"/>
  <c r="AD761" i="2" s="1"/>
  <c r="AD760" i="2"/>
  <c r="AC760" i="2"/>
  <c r="AC759" i="2"/>
  <c r="AD759" i="2" s="1"/>
  <c r="AC758" i="2"/>
  <c r="AD758" i="2" s="1"/>
  <c r="AC757" i="2"/>
  <c r="AD757" i="2" s="1"/>
  <c r="AD756" i="2"/>
  <c r="AC756" i="2"/>
  <c r="AD755" i="2"/>
  <c r="AC755" i="2"/>
  <c r="AD754" i="2"/>
  <c r="AC754" i="2"/>
  <c r="AC753" i="2"/>
  <c r="AD753" i="2" s="1"/>
  <c r="AC752" i="2"/>
  <c r="AD752" i="2" s="1"/>
  <c r="AC751" i="2"/>
  <c r="AD751" i="2" s="1"/>
  <c r="AC750" i="2"/>
  <c r="AD750" i="2" s="1"/>
  <c r="AC749" i="2"/>
  <c r="AD749" i="2" s="1"/>
  <c r="AC748" i="2"/>
  <c r="AD748" i="2" s="1"/>
  <c r="AC747" i="2"/>
  <c r="AD747" i="2" s="1"/>
  <c r="AC746" i="2"/>
  <c r="AD746" i="2" s="1"/>
  <c r="AC745" i="2"/>
  <c r="AD745" i="2" s="1"/>
  <c r="AC744" i="2"/>
  <c r="AD744" i="2" s="1"/>
  <c r="AC743" i="2"/>
  <c r="AD743" i="2" s="1"/>
  <c r="AD742" i="2"/>
  <c r="AC742" i="2"/>
  <c r="AC741" i="2"/>
  <c r="AD741" i="2" s="1"/>
  <c r="AD740" i="2"/>
  <c r="AC740" i="2"/>
  <c r="AC739" i="2"/>
  <c r="AD739" i="2" s="1"/>
  <c r="AC738" i="2"/>
  <c r="AD738" i="2" s="1"/>
  <c r="AC737" i="2"/>
  <c r="AD737" i="2" s="1"/>
  <c r="AC736" i="2"/>
  <c r="AD736" i="2" s="1"/>
  <c r="AD735" i="2"/>
  <c r="AC735" i="2"/>
  <c r="AD734" i="2"/>
  <c r="AC734" i="2"/>
  <c r="AD733" i="2"/>
  <c r="AC733" i="2"/>
  <c r="AC732" i="2"/>
  <c r="AD732" i="2" s="1"/>
  <c r="AC731" i="2"/>
  <c r="AD731" i="2" s="1"/>
  <c r="AC730" i="2"/>
  <c r="AD730" i="2" s="1"/>
  <c r="AC729" i="2"/>
  <c r="AD729" i="2" s="1"/>
  <c r="AC728" i="2"/>
  <c r="AD728" i="2" s="1"/>
  <c r="AD727" i="2"/>
  <c r="AC727" i="2"/>
  <c r="AD726" i="2"/>
  <c r="AC726" i="2"/>
  <c r="AD725" i="2"/>
  <c r="AC725" i="2"/>
  <c r="AC724" i="2"/>
  <c r="AD724" i="2" s="1"/>
  <c r="AC723" i="2"/>
  <c r="AD723" i="2" s="1"/>
  <c r="AC722" i="2"/>
  <c r="AD722" i="2" s="1"/>
  <c r="AD721" i="2"/>
  <c r="AC721" i="2"/>
  <c r="AC720" i="2"/>
  <c r="AD720" i="2" s="1"/>
  <c r="AC719" i="2"/>
  <c r="AD719" i="2" s="1"/>
  <c r="AC718" i="2"/>
  <c r="AD718" i="2" s="1"/>
  <c r="AC717" i="2"/>
  <c r="AD717" i="2" s="1"/>
  <c r="AC716" i="2"/>
  <c r="AD716" i="2" s="1"/>
  <c r="AC715" i="2"/>
  <c r="AD715" i="2" s="1"/>
  <c r="AC714" i="2"/>
  <c r="AD714" i="2" s="1"/>
  <c r="AC713" i="2"/>
  <c r="AD713" i="2" s="1"/>
  <c r="AD712" i="2"/>
  <c r="AC712" i="2"/>
  <c r="AC711" i="2"/>
  <c r="AD711" i="2" s="1"/>
  <c r="AC710" i="2"/>
  <c r="AD710" i="2" s="1"/>
  <c r="AC709" i="2"/>
  <c r="AD709" i="2" s="1"/>
  <c r="AC708" i="2"/>
  <c r="AD708" i="2" s="1"/>
  <c r="AD707" i="2"/>
  <c r="AC707" i="2"/>
  <c r="AD706" i="2"/>
  <c r="AC706" i="2"/>
  <c r="AC705" i="2"/>
  <c r="AD705" i="2" s="1"/>
  <c r="AC704" i="2"/>
  <c r="AD704" i="2" s="1"/>
  <c r="AC703" i="2"/>
  <c r="AD703" i="2" s="1"/>
  <c r="AC702" i="2"/>
  <c r="AD702" i="2" s="1"/>
  <c r="AC701" i="2"/>
  <c r="AD701" i="2" s="1"/>
  <c r="AC700" i="2"/>
  <c r="AD700" i="2" s="1"/>
  <c r="AD699" i="2"/>
  <c r="AC699" i="2"/>
  <c r="AD698" i="2"/>
  <c r="AC698" i="2"/>
  <c r="AC697" i="2"/>
  <c r="AD697" i="2" s="1"/>
  <c r="AC696" i="2"/>
  <c r="AD696" i="2" s="1"/>
  <c r="AC695" i="2"/>
  <c r="AD695" i="2" s="1"/>
  <c r="AC694" i="2"/>
  <c r="AD694" i="2" s="1"/>
  <c r="AC693" i="2"/>
  <c r="AD693" i="2" s="1"/>
  <c r="AC692" i="2"/>
  <c r="AD692" i="2" s="1"/>
  <c r="AD691" i="2"/>
  <c r="AC691" i="2"/>
  <c r="AD690" i="2"/>
  <c r="AC690" i="2"/>
  <c r="AC689" i="2"/>
  <c r="AD689" i="2" s="1"/>
  <c r="AC688" i="2"/>
  <c r="AD688" i="2" s="1"/>
  <c r="AC687" i="2"/>
  <c r="AD687" i="2" s="1"/>
  <c r="AC686" i="2"/>
  <c r="AD686" i="2" s="1"/>
  <c r="AC685" i="2"/>
  <c r="AD685" i="2" s="1"/>
  <c r="AD684" i="2"/>
  <c r="AC684" i="2"/>
  <c r="AD683" i="2"/>
  <c r="AC683" i="2"/>
  <c r="AC682" i="2"/>
  <c r="AD682" i="2" s="1"/>
  <c r="AC681" i="2"/>
  <c r="AD681" i="2" s="1"/>
  <c r="AC680" i="2"/>
  <c r="AD680" i="2" s="1"/>
  <c r="AD679" i="2"/>
  <c r="AC679" i="2"/>
  <c r="AC678" i="2"/>
  <c r="AD678" i="2" s="1"/>
  <c r="AC677" i="2"/>
  <c r="AD677" i="2" s="1"/>
  <c r="AC676" i="2"/>
  <c r="AD676" i="2" s="1"/>
  <c r="AC675" i="2"/>
  <c r="AD675" i="2" s="1"/>
  <c r="AC674" i="2"/>
  <c r="AD674" i="2" s="1"/>
  <c r="AC673" i="2"/>
  <c r="AD673" i="2" s="1"/>
  <c r="AC672" i="2"/>
  <c r="AD672" i="2" s="1"/>
  <c r="AD671" i="2"/>
  <c r="AC671" i="2"/>
  <c r="AC670" i="2"/>
  <c r="AD670" i="2" s="1"/>
  <c r="AD669" i="2"/>
  <c r="AC669" i="2"/>
  <c r="AC668" i="2"/>
  <c r="AD668" i="2" s="1"/>
  <c r="AC667" i="2"/>
  <c r="AD667" i="2" s="1"/>
  <c r="AC666" i="2"/>
  <c r="AD666" i="2" s="1"/>
  <c r="AC665" i="2"/>
  <c r="AD665" i="2" s="1"/>
  <c r="AC664" i="2"/>
  <c r="AD664" i="2" s="1"/>
  <c r="AC663" i="2"/>
  <c r="AD663" i="2" s="1"/>
  <c r="AD662" i="2"/>
  <c r="AC662" i="2"/>
  <c r="AC661" i="2"/>
  <c r="AD661" i="2" s="1"/>
  <c r="AD660" i="2"/>
  <c r="AC660" i="2"/>
  <c r="AC659" i="2"/>
  <c r="AD659" i="2" s="1"/>
  <c r="AD658" i="2"/>
  <c r="AC658" i="2"/>
  <c r="AC657" i="2"/>
  <c r="AD657" i="2" s="1"/>
  <c r="AC656" i="2"/>
  <c r="AD656" i="2" s="1"/>
  <c r="AC655" i="2"/>
  <c r="AD655" i="2" s="1"/>
  <c r="AC654" i="2"/>
  <c r="AD654" i="2" s="1"/>
  <c r="AC653" i="2"/>
  <c r="AD653" i="2" s="1"/>
  <c r="AC652" i="2"/>
  <c r="AD652" i="2" s="1"/>
  <c r="AD651" i="2"/>
  <c r="AC651" i="2"/>
  <c r="AD650" i="2"/>
  <c r="AC650" i="2"/>
  <c r="AC649" i="2"/>
  <c r="AD649" i="2" s="1"/>
  <c r="AC648" i="2"/>
  <c r="AD648" i="2" s="1"/>
  <c r="AD647" i="2"/>
  <c r="AC647" i="2"/>
  <c r="AC646" i="2"/>
  <c r="AD646" i="2" s="1"/>
  <c r="AC645" i="2"/>
  <c r="AD645" i="2" s="1"/>
  <c r="AD644" i="2"/>
  <c r="AC644" i="2"/>
  <c r="AD643" i="2"/>
  <c r="AC643" i="2"/>
  <c r="AD642" i="2"/>
  <c r="AC642" i="2"/>
  <c r="AC641" i="2"/>
  <c r="AD641" i="2" s="1"/>
  <c r="AC640" i="2"/>
  <c r="AD640" i="2" s="1"/>
  <c r="AC639" i="2"/>
  <c r="AD639" i="2" s="1"/>
  <c r="AC638" i="2"/>
  <c r="AD638" i="2" s="1"/>
  <c r="AC637" i="2"/>
  <c r="AD637" i="2" s="1"/>
  <c r="AD636" i="2"/>
  <c r="AC636" i="2"/>
  <c r="AD635" i="2"/>
  <c r="AC635" i="2"/>
  <c r="AD634" i="2"/>
  <c r="AC634" i="2"/>
  <c r="AC633" i="2"/>
  <c r="AD633" i="2" s="1"/>
  <c r="AD632" i="2"/>
  <c r="AC632" i="2"/>
  <c r="AC631" i="2"/>
  <c r="AD631" i="2" s="1"/>
  <c r="AC630" i="2"/>
  <c r="AD630" i="2" s="1"/>
  <c r="AC629" i="2"/>
  <c r="AD629" i="2" s="1"/>
  <c r="AD628" i="2"/>
  <c r="AC628" i="2"/>
  <c r="AC627" i="2"/>
  <c r="AD627" i="2" s="1"/>
  <c r="AC626" i="2"/>
  <c r="AD626" i="2" s="1"/>
  <c r="AD625" i="2"/>
  <c r="AC625" i="2"/>
  <c r="AC624" i="2"/>
  <c r="AD624" i="2" s="1"/>
  <c r="AC623" i="2"/>
  <c r="AD623" i="2" s="1"/>
  <c r="AD622" i="2"/>
  <c r="AC622" i="2"/>
  <c r="AC621" i="2"/>
  <c r="AD621" i="2" s="1"/>
  <c r="AD620" i="2"/>
  <c r="AC620" i="2"/>
  <c r="AC619" i="2"/>
  <c r="AD619" i="2" s="1"/>
  <c r="AC618" i="2"/>
  <c r="AD618" i="2" s="1"/>
  <c r="AC617" i="2"/>
  <c r="AD617" i="2" s="1"/>
  <c r="AC616" i="2"/>
  <c r="AD616" i="2" s="1"/>
  <c r="AC615" i="2"/>
  <c r="AD615" i="2" s="1"/>
  <c r="AD614" i="2"/>
  <c r="AC614" i="2"/>
  <c r="AD613" i="2"/>
  <c r="AC613" i="2"/>
  <c r="AD612" i="2"/>
  <c r="AC612" i="2"/>
  <c r="AC611" i="2"/>
  <c r="AD611" i="2" s="1"/>
  <c r="AC610" i="2"/>
  <c r="AD610" i="2" s="1"/>
  <c r="AD609" i="2"/>
  <c r="AC609" i="2"/>
  <c r="AC608" i="2"/>
  <c r="AD608" i="2" s="1"/>
  <c r="AC607" i="2"/>
  <c r="AD607" i="2" s="1"/>
  <c r="AD606" i="2"/>
  <c r="AC606" i="2"/>
  <c r="AC605" i="2"/>
  <c r="AD605" i="2" s="1"/>
  <c r="AD604" i="2"/>
  <c r="AC604" i="2"/>
  <c r="AC603" i="2"/>
  <c r="AD603" i="2" s="1"/>
  <c r="AD602" i="2"/>
  <c r="AC602" i="2"/>
  <c r="AC601" i="2"/>
  <c r="AD601" i="2" s="1"/>
  <c r="AD600" i="2"/>
  <c r="AC600" i="2"/>
  <c r="AC599" i="2"/>
  <c r="AD599" i="2" s="1"/>
  <c r="AD598" i="2"/>
  <c r="AC598" i="2"/>
  <c r="AC597" i="2"/>
  <c r="AD597" i="2" s="1"/>
  <c r="AC596" i="2"/>
  <c r="AD596" i="2" s="1"/>
  <c r="AD595" i="2"/>
  <c r="AC595" i="2"/>
  <c r="AD594" i="2"/>
  <c r="AC594" i="2"/>
  <c r="AC593" i="2"/>
  <c r="AD593" i="2" s="1"/>
  <c r="AD592" i="2"/>
  <c r="AC592" i="2"/>
  <c r="AC591" i="2"/>
  <c r="AD591" i="2" s="1"/>
  <c r="AD590" i="2"/>
  <c r="AC590" i="2"/>
  <c r="AC589" i="2"/>
  <c r="AD589" i="2" s="1"/>
  <c r="AD588" i="2"/>
  <c r="AC588" i="2"/>
  <c r="AD587" i="2"/>
  <c r="AC587" i="2"/>
  <c r="AC586" i="2"/>
  <c r="AD586" i="2" s="1"/>
  <c r="AC585" i="2"/>
  <c r="AD585" i="2" s="1"/>
  <c r="AC584" i="2"/>
  <c r="AD584" i="2" s="1"/>
  <c r="AC583" i="2"/>
  <c r="AD583" i="2" s="1"/>
  <c r="AC582" i="2"/>
  <c r="AD582" i="2" s="1"/>
  <c r="AD581" i="2"/>
  <c r="AC581" i="2"/>
  <c r="AD580" i="2"/>
  <c r="AC580" i="2"/>
  <c r="AD579" i="2"/>
  <c r="AC579" i="2"/>
  <c r="AC578" i="2"/>
  <c r="AD578" i="2" s="1"/>
  <c r="AC577" i="2"/>
  <c r="AD577" i="2" s="1"/>
  <c r="AC576" i="2"/>
  <c r="AD576" i="2" s="1"/>
  <c r="AD575" i="2"/>
  <c r="AC575" i="2"/>
  <c r="AC574" i="2"/>
  <c r="AD574" i="2" s="1"/>
  <c r="AD573" i="2"/>
  <c r="AC573" i="2"/>
  <c r="AD572" i="2"/>
  <c r="AC572" i="2"/>
  <c r="AC571" i="2"/>
  <c r="AD571" i="2" s="1"/>
  <c r="AD570" i="2"/>
  <c r="AC570" i="2"/>
  <c r="AC569" i="2"/>
  <c r="AD569" i="2" s="1"/>
  <c r="AC568" i="2"/>
  <c r="AD568" i="2" s="1"/>
  <c r="AD567" i="2"/>
  <c r="AC567" i="2"/>
  <c r="AC566" i="2"/>
  <c r="AD566" i="2" s="1"/>
  <c r="AD565" i="2"/>
  <c r="AC565" i="2"/>
  <c r="AC564" i="2"/>
  <c r="AD564" i="2" s="1"/>
  <c r="AC563" i="2"/>
  <c r="AD563" i="2" s="1"/>
  <c r="AC562" i="2"/>
  <c r="AD562" i="2" s="1"/>
  <c r="AC561" i="2"/>
  <c r="AD561" i="2" s="1"/>
  <c r="AC560" i="2"/>
  <c r="AD560" i="2" s="1"/>
  <c r="AC559" i="2"/>
  <c r="AD559" i="2" s="1"/>
  <c r="AD558" i="2"/>
  <c r="AC558" i="2"/>
  <c r="AC557" i="2"/>
  <c r="AD557" i="2" s="1"/>
  <c r="AD556" i="2"/>
  <c r="AC556" i="2"/>
  <c r="AD555" i="2"/>
  <c r="AC555" i="2"/>
  <c r="AC554" i="2"/>
  <c r="AD554" i="2" s="1"/>
  <c r="AC553" i="2"/>
  <c r="AD553" i="2" s="1"/>
  <c r="AC552" i="2"/>
  <c r="AD552" i="2" s="1"/>
  <c r="AD551" i="2"/>
  <c r="AC551" i="2"/>
  <c r="AC550" i="2"/>
  <c r="AD550" i="2" s="1"/>
  <c r="AD549" i="2"/>
  <c r="AC549" i="2"/>
  <c r="AC548" i="2"/>
  <c r="AD548" i="2" s="1"/>
  <c r="AC547" i="2"/>
  <c r="AD547" i="2" s="1"/>
  <c r="AC546" i="2"/>
  <c r="AD546" i="2" s="1"/>
  <c r="AC545" i="2"/>
  <c r="AD545" i="2" s="1"/>
  <c r="AD544" i="2"/>
  <c r="AC544" i="2"/>
  <c r="AC543" i="2"/>
  <c r="AD543" i="2" s="1"/>
  <c r="AD542" i="2"/>
  <c r="AC542" i="2"/>
  <c r="AD541" i="2"/>
  <c r="AC541" i="2"/>
  <c r="AD540" i="2"/>
  <c r="AC540" i="2"/>
  <c r="AC539" i="2"/>
  <c r="AD539" i="2" s="1"/>
  <c r="AC538" i="2"/>
  <c r="AD538" i="2" s="1"/>
  <c r="AD537" i="2"/>
  <c r="AC537" i="2"/>
  <c r="AC536" i="2"/>
  <c r="AD536" i="2" s="1"/>
  <c r="AC535" i="2"/>
  <c r="AD535" i="2" s="1"/>
  <c r="AD534" i="2"/>
  <c r="AC534" i="2"/>
  <c r="AC533" i="2"/>
  <c r="AD533" i="2" s="1"/>
  <c r="AC532" i="2"/>
  <c r="AD532" i="2" s="1"/>
  <c r="AC531" i="2"/>
  <c r="AD531" i="2" s="1"/>
  <c r="AD530" i="2"/>
  <c r="AC530" i="2"/>
  <c r="AC529" i="2"/>
  <c r="AD529" i="2" s="1"/>
  <c r="AC528" i="2"/>
  <c r="AD528" i="2" s="1"/>
  <c r="AD527" i="2"/>
  <c r="AC527" i="2"/>
  <c r="AD526" i="2"/>
  <c r="AC526" i="2"/>
  <c r="AD525" i="2"/>
  <c r="AC525" i="2"/>
  <c r="AC524" i="2"/>
  <c r="AD524" i="2" s="1"/>
  <c r="AD523" i="2"/>
  <c r="AC523" i="2"/>
  <c r="AC522" i="2"/>
  <c r="AD522" i="2" s="1"/>
  <c r="AC521" i="2"/>
  <c r="AD521" i="2" s="1"/>
  <c r="AC520" i="2"/>
  <c r="AD520" i="2" s="1"/>
  <c r="AD519" i="2"/>
  <c r="AC519" i="2"/>
  <c r="AC518" i="2"/>
  <c r="AD518" i="2" s="1"/>
  <c r="AC517" i="2"/>
  <c r="AD517" i="2" s="1"/>
  <c r="AD516" i="2"/>
  <c r="AC516" i="2"/>
  <c r="AC515" i="2"/>
  <c r="AD515" i="2" s="1"/>
  <c r="AC514" i="2"/>
  <c r="AD514" i="2" s="1"/>
  <c r="AD513" i="2"/>
  <c r="AC513" i="2"/>
  <c r="AD512" i="2"/>
  <c r="AC512" i="2"/>
  <c r="AD511" i="2"/>
  <c r="AC511" i="2"/>
  <c r="AD510" i="2"/>
  <c r="AC510" i="2"/>
  <c r="AD509" i="2"/>
  <c r="AC509" i="2"/>
  <c r="AC508" i="2"/>
  <c r="AD508" i="2" s="1"/>
  <c r="AC507" i="2"/>
  <c r="AD507" i="2" s="1"/>
  <c r="AC506" i="2"/>
  <c r="AD506" i="2" s="1"/>
  <c r="AC505" i="2"/>
  <c r="AD505" i="2" s="1"/>
  <c r="AD504" i="2"/>
  <c r="AC504" i="2"/>
  <c r="AC503" i="2"/>
  <c r="AD503" i="2" s="1"/>
  <c r="AD502" i="2"/>
  <c r="AC502" i="2"/>
  <c r="AC501" i="2"/>
  <c r="AD501" i="2" s="1"/>
  <c r="AD500" i="2"/>
  <c r="AC500" i="2"/>
  <c r="AC499" i="2"/>
  <c r="AD499" i="2" s="1"/>
  <c r="AC498" i="2"/>
  <c r="AD498" i="2" s="1"/>
  <c r="AC497" i="2"/>
  <c r="AD497" i="2" s="1"/>
  <c r="AD496" i="2"/>
  <c r="AC496" i="2"/>
  <c r="AD495" i="2"/>
  <c r="AC495" i="2"/>
  <c r="AC494" i="2"/>
  <c r="AD494" i="2" s="1"/>
  <c r="AC493" i="2"/>
  <c r="AD493" i="2" s="1"/>
  <c r="AC492" i="2"/>
  <c r="AD492" i="2" s="1"/>
  <c r="AC491" i="2"/>
  <c r="AD491" i="2" s="1"/>
  <c r="AD490" i="2"/>
  <c r="AC490" i="2"/>
  <c r="AD489" i="2"/>
  <c r="AC489" i="2"/>
  <c r="AD488" i="2"/>
  <c r="AC488" i="2"/>
  <c r="AC487" i="2"/>
  <c r="AD487" i="2" s="1"/>
  <c r="AC486" i="2"/>
  <c r="AD486" i="2" s="1"/>
  <c r="AC485" i="2"/>
  <c r="AD485" i="2" s="1"/>
  <c r="AC484" i="2"/>
  <c r="AD484" i="2" s="1"/>
  <c r="AC483" i="2"/>
  <c r="AD483" i="2" s="1"/>
  <c r="AD482" i="2"/>
  <c r="AC482" i="2"/>
  <c r="AD481" i="2"/>
  <c r="AC481" i="2"/>
  <c r="AC480" i="2"/>
  <c r="AD480" i="2" s="1"/>
  <c r="AC479" i="2"/>
  <c r="AD479" i="2" s="1"/>
  <c r="AC478" i="2"/>
  <c r="AD478" i="2" s="1"/>
  <c r="AC477" i="2"/>
  <c r="AD477" i="2" s="1"/>
  <c r="AC476" i="2"/>
  <c r="AD476" i="2" s="1"/>
  <c r="AC475" i="2"/>
  <c r="AD475" i="2" s="1"/>
  <c r="AD474" i="2"/>
  <c r="AC474" i="2"/>
  <c r="AC473" i="2"/>
  <c r="AD473" i="2" s="1"/>
  <c r="AD472" i="2"/>
  <c r="AC472" i="2"/>
  <c r="AC471" i="2"/>
  <c r="AD471" i="2" s="1"/>
  <c r="AC470" i="2"/>
  <c r="AD470" i="2" s="1"/>
  <c r="AC469" i="2"/>
  <c r="AD469" i="2" s="1"/>
  <c r="AC468" i="2"/>
  <c r="AD468" i="2" s="1"/>
  <c r="AD467" i="2"/>
  <c r="AC467" i="2"/>
  <c r="AC466" i="2"/>
  <c r="AD466" i="2" s="1"/>
  <c r="AC465" i="2"/>
  <c r="AD465" i="2" s="1"/>
  <c r="AC464" i="2"/>
  <c r="AD464" i="2" s="1"/>
  <c r="AC463" i="2"/>
  <c r="AD463" i="2" s="1"/>
  <c r="AD462" i="2"/>
  <c r="AC462" i="2"/>
  <c r="AC461" i="2"/>
  <c r="AD461" i="2" s="1"/>
  <c r="AD460" i="2"/>
  <c r="AC460" i="2"/>
  <c r="AC459" i="2"/>
  <c r="AD459" i="2" s="1"/>
  <c r="AD458" i="2"/>
  <c r="AC458" i="2"/>
  <c r="AD457" i="2"/>
  <c r="AC457" i="2"/>
  <c r="AC456" i="2"/>
  <c r="AD456" i="2" s="1"/>
  <c r="AC455" i="2"/>
  <c r="AD455" i="2" s="1"/>
  <c r="AD454" i="2"/>
  <c r="AC454" i="2"/>
  <c r="AD453" i="2"/>
  <c r="AC453" i="2"/>
  <c r="AC452" i="2"/>
  <c r="AD452" i="2" s="1"/>
  <c r="AD451" i="2"/>
  <c r="AC451" i="2"/>
  <c r="AC450" i="2"/>
  <c r="AD450" i="2" s="1"/>
  <c r="AC449" i="2"/>
  <c r="AD449" i="2" s="1"/>
  <c r="AD448" i="2"/>
  <c r="AC448" i="2"/>
  <c r="AD447" i="2"/>
  <c r="AC447" i="2"/>
  <c r="AD446" i="2"/>
  <c r="AC446" i="2"/>
  <c r="AC445" i="2"/>
  <c r="AD445" i="2" s="1"/>
  <c r="AC444" i="2"/>
  <c r="AD444" i="2" s="1"/>
  <c r="AD443" i="2"/>
  <c r="AC443" i="2"/>
  <c r="AD442" i="2"/>
  <c r="AC442" i="2"/>
  <c r="AC441" i="2"/>
  <c r="AD441" i="2" s="1"/>
  <c r="AD440" i="2"/>
  <c r="AC440" i="2"/>
  <c r="AD439" i="2"/>
  <c r="AC439" i="2"/>
  <c r="AC438" i="2"/>
  <c r="AD438" i="2" s="1"/>
  <c r="AD437" i="2"/>
  <c r="AC437" i="2"/>
  <c r="AD436" i="2"/>
  <c r="AC436" i="2"/>
  <c r="AC435" i="2"/>
  <c r="AD435" i="2" s="1"/>
  <c r="AC434" i="2"/>
  <c r="AD434" i="2" s="1"/>
  <c r="AC433" i="2"/>
  <c r="AD433" i="2" s="1"/>
  <c r="AD432" i="2"/>
  <c r="AC432" i="2"/>
  <c r="AC431" i="2"/>
  <c r="AD431" i="2" s="1"/>
  <c r="AD430" i="2"/>
  <c r="AC430" i="2"/>
  <c r="AC429" i="2"/>
  <c r="AD429" i="2" s="1"/>
  <c r="AD428" i="2"/>
  <c r="AC428" i="2"/>
  <c r="AD427" i="2"/>
  <c r="AC427" i="2"/>
  <c r="AC426" i="2"/>
  <c r="AD426" i="2" s="1"/>
  <c r="AD425" i="2"/>
  <c r="AC425" i="2"/>
  <c r="AC424" i="2"/>
  <c r="AD424" i="2" s="1"/>
  <c r="AD423" i="2"/>
  <c r="AC423" i="2"/>
  <c r="AD422" i="2"/>
  <c r="AC422" i="2"/>
  <c r="AD421" i="2"/>
  <c r="AC421" i="2"/>
  <c r="AC420" i="2"/>
  <c r="AD420" i="2" s="1"/>
  <c r="AC419" i="2"/>
  <c r="AD419" i="2" s="1"/>
  <c r="AD418" i="2"/>
  <c r="AC418" i="2"/>
  <c r="AC417" i="2"/>
  <c r="AD417" i="2" s="1"/>
  <c r="AC416" i="2"/>
  <c r="AD416" i="2" s="1"/>
  <c r="AC415" i="2"/>
  <c r="AD415" i="2" s="1"/>
  <c r="AC414" i="2"/>
  <c r="AD414" i="2" s="1"/>
  <c r="AD413" i="2"/>
  <c r="AC413" i="2"/>
  <c r="AD412" i="2"/>
  <c r="AC412" i="2"/>
  <c r="AD411" i="2"/>
  <c r="AC411" i="2"/>
  <c r="AC410" i="2"/>
  <c r="AD410" i="2" s="1"/>
  <c r="AC409" i="2"/>
  <c r="AD409" i="2" s="1"/>
  <c r="AC408" i="2"/>
  <c r="AD408" i="2" s="1"/>
  <c r="AD407" i="2"/>
  <c r="AC407" i="2"/>
  <c r="AD406" i="2"/>
  <c r="AC406" i="2"/>
  <c r="AC405" i="2"/>
  <c r="AD405" i="2" s="1"/>
  <c r="AD404" i="2"/>
  <c r="AC404" i="2"/>
  <c r="AC403" i="2"/>
  <c r="AD403" i="2" s="1"/>
  <c r="AC402" i="2"/>
  <c r="AD402" i="2" s="1"/>
  <c r="AC401" i="2"/>
  <c r="AD401" i="2" s="1"/>
  <c r="AC400" i="2"/>
  <c r="AD400" i="2" s="1"/>
  <c r="AD399" i="2"/>
  <c r="AC399" i="2"/>
  <c r="AD398" i="2"/>
  <c r="AC398" i="2"/>
  <c r="AD397" i="2"/>
  <c r="AC397" i="2"/>
  <c r="AC396" i="2"/>
  <c r="AD396" i="2" s="1"/>
  <c r="AC395" i="2"/>
  <c r="AD395" i="2" s="1"/>
  <c r="AD394" i="2"/>
  <c r="AC394" i="2"/>
  <c r="AC393" i="2"/>
  <c r="AD393" i="2" s="1"/>
  <c r="AC392" i="2"/>
  <c r="AD392" i="2" s="1"/>
  <c r="AD391" i="2"/>
  <c r="AC391" i="2"/>
  <c r="AD390" i="2"/>
  <c r="AC390" i="2"/>
  <c r="AC389" i="2"/>
  <c r="AD389" i="2" s="1"/>
  <c r="AC388" i="2"/>
  <c r="AD388" i="2" s="1"/>
  <c r="AC387" i="2"/>
  <c r="AD387" i="2" s="1"/>
  <c r="AD386" i="2"/>
  <c r="AC386" i="2"/>
  <c r="AC385" i="2"/>
  <c r="AD385" i="2" s="1"/>
  <c r="AC384" i="2"/>
  <c r="AD384" i="2" s="1"/>
  <c r="AD383" i="2"/>
  <c r="AC383" i="2"/>
  <c r="AC382" i="2"/>
  <c r="AD382" i="2" s="1"/>
  <c r="AC381" i="2"/>
  <c r="AD381" i="2" s="1"/>
  <c r="AD380" i="2"/>
  <c r="AC380" i="2"/>
  <c r="AC379" i="2"/>
  <c r="AD379" i="2" s="1"/>
  <c r="AC378" i="2"/>
  <c r="AD378" i="2" s="1"/>
  <c r="AC377" i="2"/>
  <c r="AD377" i="2" s="1"/>
  <c r="AD376" i="2"/>
  <c r="AC376" i="2"/>
  <c r="AC375" i="2"/>
  <c r="AD375" i="2" s="1"/>
  <c r="AD374" i="2"/>
  <c r="AC374" i="2"/>
  <c r="AC373" i="2"/>
  <c r="AD373" i="2" s="1"/>
  <c r="AD372" i="2"/>
  <c r="AC372" i="2"/>
  <c r="AC371" i="2"/>
  <c r="AD371" i="2" s="1"/>
  <c r="AC370" i="2"/>
  <c r="AD370" i="2" s="1"/>
  <c r="AD369" i="2"/>
  <c r="AC369" i="2"/>
  <c r="AC368" i="2"/>
  <c r="AD368" i="2" s="1"/>
  <c r="AC367" i="2"/>
  <c r="AD367" i="2" s="1"/>
  <c r="AC366" i="2"/>
  <c r="AD366" i="2" s="1"/>
  <c r="AD365" i="2"/>
  <c r="AC365" i="2"/>
  <c r="AC364" i="2"/>
  <c r="AD364" i="2" s="1"/>
  <c r="AC363" i="2"/>
  <c r="AD363" i="2" s="1"/>
  <c r="AD362" i="2"/>
  <c r="AC362" i="2"/>
  <c r="AC361" i="2"/>
  <c r="AD361" i="2" s="1"/>
  <c r="AD360" i="2"/>
  <c r="AC360" i="2"/>
  <c r="AD359" i="2"/>
  <c r="AC359" i="2"/>
  <c r="AC358" i="2"/>
  <c r="AD358" i="2" s="1"/>
  <c r="AD357" i="2"/>
  <c r="AC357" i="2"/>
  <c r="AC356" i="2"/>
  <c r="AD356" i="2" s="1"/>
  <c r="AD355" i="2"/>
  <c r="AC355" i="2"/>
  <c r="AC354" i="2"/>
  <c r="AD354" i="2" s="1"/>
  <c r="AD353" i="2"/>
  <c r="AC353" i="2"/>
  <c r="AC352" i="2"/>
  <c r="AD352" i="2" s="1"/>
  <c r="AC351" i="2"/>
  <c r="AD351" i="2" s="1"/>
  <c r="AC350" i="2"/>
  <c r="AD350" i="2" s="1"/>
  <c r="AC349" i="2"/>
  <c r="AD349" i="2" s="1"/>
  <c r="AD348" i="2"/>
  <c r="AC348" i="2"/>
  <c r="AC347" i="2"/>
  <c r="AD347" i="2" s="1"/>
  <c r="AC346" i="2"/>
  <c r="AD346" i="2" s="1"/>
  <c r="AD345" i="2"/>
  <c r="AC345" i="2"/>
  <c r="AD344" i="2"/>
  <c r="AC344" i="2"/>
  <c r="AC343" i="2"/>
  <c r="AD343" i="2" s="1"/>
  <c r="AD342" i="2"/>
  <c r="AC342" i="2"/>
  <c r="AD341" i="2"/>
  <c r="AC341" i="2"/>
  <c r="AC340" i="2"/>
  <c r="AD340" i="2" s="1"/>
  <c r="AD339" i="2"/>
  <c r="AC339" i="2"/>
  <c r="AD338" i="2"/>
  <c r="AC338" i="2"/>
  <c r="AC337" i="2"/>
  <c r="AD337" i="2" s="1"/>
  <c r="AC336" i="2"/>
  <c r="AD336" i="2" s="1"/>
  <c r="AC335" i="2"/>
  <c r="AD335" i="2" s="1"/>
  <c r="AD334" i="2"/>
  <c r="AC334" i="2"/>
  <c r="AC333" i="2"/>
  <c r="AD333" i="2" s="1"/>
  <c r="AD332" i="2"/>
  <c r="AC332" i="2"/>
  <c r="AC331" i="2"/>
  <c r="AD331" i="2" s="1"/>
  <c r="AD330" i="2"/>
  <c r="AC330" i="2"/>
  <c r="AD329" i="2"/>
  <c r="AC329" i="2"/>
  <c r="AC328" i="2"/>
  <c r="AD328" i="2" s="1"/>
  <c r="AD327" i="2"/>
  <c r="AC327" i="2"/>
  <c r="AC326" i="2"/>
  <c r="AD326" i="2" s="1"/>
  <c r="AC325" i="2"/>
  <c r="AD325" i="2" s="1"/>
  <c r="AC324" i="2"/>
  <c r="AD324" i="2" s="1"/>
  <c r="AD323" i="2"/>
  <c r="AC323" i="2"/>
  <c r="AC322" i="2"/>
  <c r="AD322" i="2" s="1"/>
  <c r="AC321" i="2"/>
  <c r="AD321" i="2" s="1"/>
  <c r="AD320" i="2"/>
  <c r="AC320" i="2"/>
  <c r="AC319" i="2"/>
  <c r="AD319" i="2" s="1"/>
  <c r="AC318" i="2"/>
  <c r="AD318" i="2" s="1"/>
  <c r="AD317" i="2"/>
  <c r="AC317" i="2"/>
  <c r="AD316" i="2"/>
  <c r="AC316" i="2"/>
  <c r="AD315" i="2"/>
  <c r="AC315" i="2"/>
  <c r="AD314" i="2"/>
  <c r="AC314" i="2"/>
  <c r="AD313" i="2"/>
  <c r="AC313" i="2"/>
  <c r="AC312" i="2"/>
  <c r="AD312" i="2" s="1"/>
  <c r="AC311" i="2"/>
  <c r="AD311" i="2" s="1"/>
  <c r="AC310" i="2"/>
  <c r="AD310" i="2" s="1"/>
  <c r="AC309" i="2"/>
  <c r="AD309" i="2" s="1"/>
  <c r="AD308" i="2"/>
  <c r="AC308" i="2"/>
  <c r="AC307" i="2"/>
  <c r="AD307" i="2" s="1"/>
  <c r="AD306" i="2"/>
  <c r="AC306" i="2"/>
  <c r="AC305" i="2"/>
  <c r="AD305" i="2" s="1"/>
  <c r="AC304" i="2"/>
  <c r="AD304" i="2" s="1"/>
  <c r="AC303" i="2"/>
  <c r="AD303" i="2" s="1"/>
  <c r="AC302" i="2"/>
  <c r="AD302" i="2" s="1"/>
  <c r="AC301" i="2"/>
  <c r="AD301" i="2" s="1"/>
  <c r="AD300" i="2"/>
  <c r="AC300" i="2"/>
  <c r="AD299" i="2"/>
  <c r="AC299" i="2"/>
  <c r="AC298" i="2"/>
  <c r="AD298" i="2" s="1"/>
  <c r="AC297" i="2"/>
  <c r="AD297" i="2" s="1"/>
  <c r="AC296" i="2"/>
  <c r="AD296" i="2" s="1"/>
  <c r="AC295" i="2"/>
  <c r="AD295" i="2" s="1"/>
  <c r="AD294" i="2"/>
  <c r="AC294" i="2"/>
  <c r="AD293" i="2"/>
  <c r="AC293" i="2"/>
  <c r="AD292" i="2"/>
  <c r="AC292" i="2"/>
  <c r="AC291" i="2"/>
  <c r="AD291" i="2" s="1"/>
  <c r="AC290" i="2"/>
  <c r="AD290" i="2" s="1"/>
  <c r="AC289" i="2"/>
  <c r="AD289" i="2" s="1"/>
  <c r="AC288" i="2"/>
  <c r="AD288" i="2" s="1"/>
  <c r="AC287" i="2"/>
  <c r="AD287" i="2" s="1"/>
  <c r="AC286" i="2"/>
  <c r="AD286" i="2" s="1"/>
  <c r="AD285" i="2"/>
  <c r="AC285" i="2"/>
  <c r="AC284" i="2"/>
  <c r="AD284" i="2" s="1"/>
  <c r="AC283" i="2"/>
  <c r="AD283" i="2" s="1"/>
  <c r="AC282" i="2"/>
  <c r="AD282" i="2" s="1"/>
  <c r="AC281" i="2"/>
  <c r="AD281" i="2" s="1"/>
  <c r="AC280" i="2"/>
  <c r="AD280" i="2" s="1"/>
  <c r="AC279" i="2"/>
  <c r="AD279" i="2" s="1"/>
  <c r="AD278" i="2"/>
  <c r="AC278" i="2"/>
  <c r="AC277" i="2"/>
  <c r="AD277" i="2" s="1"/>
  <c r="AD276" i="2"/>
  <c r="AC276" i="2"/>
  <c r="AC275" i="2"/>
  <c r="AD275" i="2" s="1"/>
  <c r="AC274" i="2"/>
  <c r="AD274" i="2" s="1"/>
  <c r="AC273" i="2"/>
  <c r="AD273" i="2" s="1"/>
  <c r="AC272" i="2"/>
  <c r="AD272" i="2" s="1"/>
  <c r="AD271" i="2"/>
  <c r="AC271" i="2"/>
  <c r="AC270" i="2"/>
  <c r="AD270" i="2" s="1"/>
  <c r="AC269" i="2"/>
  <c r="AD269" i="2" s="1"/>
  <c r="AC268" i="2"/>
  <c r="AD268" i="2" s="1"/>
  <c r="AD267" i="2"/>
  <c r="AC267" i="2"/>
  <c r="AC266" i="2"/>
  <c r="AD266" i="2" s="1"/>
  <c r="AC265" i="2"/>
  <c r="AD265" i="2" s="1"/>
  <c r="AC264" i="2"/>
  <c r="AD264" i="2" s="1"/>
  <c r="AC263" i="2"/>
  <c r="AD263" i="2" s="1"/>
  <c r="AD262" i="2"/>
  <c r="AC262" i="2"/>
  <c r="AD261" i="2"/>
  <c r="AC261" i="2"/>
  <c r="AC260" i="2"/>
  <c r="AD260" i="2" s="1"/>
  <c r="AC259" i="2"/>
  <c r="AD259" i="2" s="1"/>
  <c r="AC258" i="2"/>
  <c r="AD258" i="2" s="1"/>
  <c r="AC257" i="2"/>
  <c r="AD257" i="2" s="1"/>
  <c r="AC256" i="2"/>
  <c r="AD256" i="2" s="1"/>
  <c r="AC255" i="2"/>
  <c r="AD255" i="2" s="1"/>
  <c r="AC254" i="2"/>
  <c r="AD254" i="2" s="1"/>
  <c r="AC253" i="2"/>
  <c r="AD253" i="2" s="1"/>
  <c r="AC252" i="2"/>
  <c r="AD252" i="2" s="1"/>
  <c r="AD251" i="2"/>
  <c r="AC251" i="2"/>
  <c r="AC250" i="2"/>
  <c r="AD250" i="2" s="1"/>
  <c r="AC249" i="2"/>
  <c r="AD249" i="2" s="1"/>
  <c r="AC248" i="2"/>
  <c r="AD248" i="2" s="1"/>
  <c r="AD247" i="2"/>
  <c r="AC247" i="2"/>
  <c r="AD246" i="2"/>
  <c r="AC246" i="2"/>
  <c r="AD245" i="2"/>
  <c r="AC245" i="2"/>
  <c r="AC244" i="2"/>
  <c r="AD244" i="2" s="1"/>
  <c r="AC243" i="2"/>
  <c r="AD243" i="2" s="1"/>
  <c r="AC242" i="2"/>
  <c r="AD242" i="2" s="1"/>
  <c r="AC241" i="2"/>
  <c r="AD241" i="2" s="1"/>
  <c r="AC240" i="2"/>
  <c r="AD240" i="2" s="1"/>
  <c r="AC239" i="2"/>
  <c r="AD239" i="2" s="1"/>
  <c r="AC238" i="2"/>
  <c r="AD238" i="2" s="1"/>
  <c r="AC237" i="2"/>
  <c r="AD237" i="2" s="1"/>
  <c r="AC236" i="2"/>
  <c r="AD236" i="2" s="1"/>
  <c r="AC235" i="2"/>
  <c r="AD235" i="2" s="1"/>
  <c r="AC234" i="2"/>
  <c r="AD234" i="2" s="1"/>
  <c r="AC233" i="2"/>
  <c r="AD233" i="2" s="1"/>
  <c r="AD232" i="2"/>
  <c r="AC232" i="2"/>
  <c r="AD231" i="2"/>
  <c r="AC231" i="2"/>
  <c r="AD230" i="2"/>
  <c r="AC230" i="2"/>
  <c r="AD229" i="2"/>
  <c r="AC229" i="2"/>
  <c r="AC228" i="2"/>
  <c r="AD228" i="2" s="1"/>
  <c r="AD227" i="2"/>
  <c r="AC227" i="2"/>
  <c r="AC226" i="2"/>
  <c r="AD226" i="2" s="1"/>
  <c r="AC225" i="2"/>
  <c r="AD225" i="2" s="1"/>
  <c r="AC224" i="2"/>
  <c r="AD224" i="2" s="1"/>
  <c r="AC223" i="2"/>
  <c r="AD223" i="2" s="1"/>
  <c r="AC222" i="2"/>
  <c r="AD222" i="2" s="1"/>
  <c r="AC221" i="2"/>
  <c r="AD221" i="2" s="1"/>
  <c r="AD220" i="2"/>
  <c r="AC220" i="2"/>
  <c r="AC219" i="2"/>
  <c r="AD219" i="2" s="1"/>
  <c r="AC218" i="2"/>
  <c r="AD218" i="2" s="1"/>
  <c r="AD217" i="2"/>
  <c r="AC217" i="2"/>
  <c r="AD216" i="2"/>
  <c r="AC216" i="2"/>
  <c r="AC215" i="2"/>
  <c r="AD215" i="2" s="1"/>
  <c r="AC214" i="2"/>
  <c r="AD214" i="2" s="1"/>
  <c r="AC213" i="2"/>
  <c r="AD213" i="2" s="1"/>
  <c r="AC212" i="2"/>
  <c r="AD212" i="2" s="1"/>
  <c r="AD211" i="2"/>
  <c r="AC211" i="2"/>
  <c r="AC210" i="2"/>
  <c r="AD210" i="2" s="1"/>
  <c r="AC209" i="2"/>
  <c r="AD209" i="2" s="1"/>
  <c r="AC208" i="2"/>
  <c r="AD208" i="2" s="1"/>
  <c r="AC207" i="2"/>
  <c r="AD207" i="2" s="1"/>
  <c r="AC206" i="2"/>
  <c r="AD206" i="2" s="1"/>
  <c r="AD205" i="2"/>
  <c r="AC205" i="2"/>
  <c r="AD204" i="2"/>
  <c r="AC204" i="2"/>
  <c r="AC203" i="2"/>
  <c r="AD203" i="2" s="1"/>
  <c r="AD202" i="2"/>
  <c r="AC202" i="2"/>
  <c r="AD201" i="2"/>
  <c r="AC201" i="2"/>
  <c r="AC200" i="2"/>
  <c r="AD200" i="2" s="1"/>
  <c r="AC199" i="2"/>
  <c r="AD199" i="2" s="1"/>
  <c r="AC198" i="2"/>
  <c r="AD198" i="2" s="1"/>
  <c r="AC197" i="2"/>
  <c r="AD197" i="2" s="1"/>
  <c r="AC196" i="2"/>
  <c r="AD196" i="2" s="1"/>
  <c r="AD195" i="2"/>
  <c r="AC195" i="2"/>
  <c r="AC194" i="2"/>
  <c r="AD194" i="2" s="1"/>
  <c r="AC193" i="2"/>
  <c r="AD193" i="2" s="1"/>
  <c r="AC192" i="2"/>
  <c r="AD192" i="2" s="1"/>
  <c r="AC191" i="2"/>
  <c r="AD191" i="2" s="1"/>
  <c r="AC190" i="2"/>
  <c r="AD190" i="2" s="1"/>
  <c r="AC189" i="2"/>
  <c r="AD189" i="2" s="1"/>
  <c r="AC188" i="2"/>
  <c r="AD188" i="2" s="1"/>
  <c r="AD187" i="2"/>
  <c r="AC187" i="2"/>
  <c r="AC186" i="2"/>
  <c r="AD186" i="2" s="1"/>
  <c r="AC185" i="2"/>
  <c r="AD185" i="2" s="1"/>
  <c r="AC184" i="2"/>
  <c r="AD184" i="2" s="1"/>
  <c r="AC183" i="2"/>
  <c r="AD183" i="2" s="1"/>
  <c r="AC182" i="2"/>
  <c r="AD182" i="2" s="1"/>
  <c r="AC181" i="2"/>
  <c r="AD181" i="2" s="1"/>
  <c r="AC180" i="2"/>
  <c r="AD180" i="2" s="1"/>
  <c r="AC179" i="2"/>
  <c r="AD179" i="2" s="1"/>
  <c r="AD178" i="2"/>
  <c r="AC178" i="2"/>
  <c r="AC177" i="2"/>
  <c r="AD177" i="2" s="1"/>
  <c r="AC176" i="2"/>
  <c r="AD176" i="2" s="1"/>
  <c r="AC175" i="2"/>
  <c r="AD175" i="2" s="1"/>
  <c r="AD174" i="2"/>
  <c r="AC174" i="2"/>
  <c r="AD173" i="2"/>
  <c r="AC173" i="2"/>
  <c r="AC172" i="2"/>
  <c r="AD172" i="2" s="1"/>
  <c r="AC171" i="2"/>
  <c r="AD171" i="2" s="1"/>
  <c r="AC170" i="2"/>
  <c r="AD170" i="2" s="1"/>
  <c r="AC169" i="2"/>
  <c r="AD169" i="2" s="1"/>
  <c r="AC168" i="2"/>
  <c r="AD168" i="2" s="1"/>
  <c r="AC167" i="2"/>
  <c r="AD167" i="2" s="1"/>
  <c r="AC166" i="2"/>
  <c r="AD166" i="2" s="1"/>
  <c r="AC165" i="2"/>
  <c r="AD165" i="2" s="1"/>
  <c r="AD164" i="2"/>
  <c r="AC164" i="2"/>
  <c r="AD163" i="2"/>
  <c r="AC163" i="2"/>
  <c r="AC162" i="2"/>
  <c r="AD162" i="2" s="1"/>
  <c r="AC161" i="2"/>
  <c r="AD161" i="2" s="1"/>
  <c r="AC160" i="2"/>
  <c r="AD160" i="2" s="1"/>
  <c r="AC159" i="2"/>
  <c r="AD159" i="2" s="1"/>
  <c r="AC158" i="2"/>
  <c r="AD158" i="2" s="1"/>
  <c r="AC157" i="2"/>
  <c r="AD157" i="2" s="1"/>
  <c r="AC156" i="2"/>
  <c r="AD156" i="2" s="1"/>
  <c r="AC155" i="2"/>
  <c r="AD155" i="2" s="1"/>
  <c r="AD154" i="2"/>
  <c r="AC154" i="2"/>
  <c r="AC153" i="2"/>
  <c r="AD153" i="2" s="1"/>
  <c r="AC152" i="2"/>
  <c r="AD152" i="2" s="1"/>
  <c r="AC151" i="2"/>
  <c r="AD151" i="2" s="1"/>
  <c r="AC150" i="2"/>
  <c r="AD150" i="2" s="1"/>
  <c r="AD149" i="2"/>
  <c r="AC149" i="2"/>
  <c r="AD148" i="2"/>
  <c r="AC148" i="2"/>
  <c r="AC147" i="2"/>
  <c r="AD147" i="2" s="1"/>
  <c r="AC146" i="2"/>
  <c r="AD146" i="2" s="1"/>
  <c r="AC145" i="2"/>
  <c r="AD145" i="2" s="1"/>
  <c r="AC144" i="2"/>
  <c r="AD144" i="2" s="1"/>
  <c r="AC143" i="2"/>
  <c r="AD143" i="2" s="1"/>
  <c r="AC142" i="2"/>
  <c r="AD142" i="2" s="1"/>
  <c r="AC141" i="2"/>
  <c r="AD141" i="2" s="1"/>
  <c r="AC140" i="2"/>
  <c r="AD140" i="2" s="1"/>
  <c r="AC139" i="2"/>
  <c r="AD139" i="2" s="1"/>
  <c r="AD138" i="2"/>
  <c r="AC138" i="2"/>
  <c r="AC137" i="2"/>
  <c r="AD137" i="2" s="1"/>
  <c r="AC136" i="2"/>
  <c r="AD136" i="2" s="1"/>
  <c r="AC135" i="2"/>
  <c r="AD135" i="2" s="1"/>
  <c r="AC134" i="2"/>
  <c r="AD134" i="2" s="1"/>
  <c r="AC133" i="2"/>
  <c r="AD133" i="2" s="1"/>
  <c r="AC132" i="2"/>
  <c r="AD132" i="2" s="1"/>
  <c r="AC131" i="2"/>
  <c r="AD131" i="2" s="1"/>
  <c r="AD130" i="2"/>
  <c r="AC130" i="2"/>
  <c r="AC129" i="2"/>
  <c r="AD129" i="2" s="1"/>
  <c r="AC128" i="2"/>
  <c r="AD128" i="2" s="1"/>
  <c r="AC127" i="2"/>
  <c r="AD127" i="2" s="1"/>
  <c r="AC126" i="2"/>
  <c r="AD126" i="2" s="1"/>
  <c r="AC125" i="2"/>
  <c r="AD125" i="2" s="1"/>
  <c r="AC124" i="2"/>
  <c r="AD124" i="2" s="1"/>
  <c r="AC123" i="2"/>
  <c r="AD123" i="2" s="1"/>
  <c r="AD122" i="2"/>
  <c r="AC122" i="2"/>
  <c r="AC121" i="2"/>
  <c r="AD121" i="2" s="1"/>
  <c r="AC120" i="2"/>
  <c r="AD120" i="2" s="1"/>
  <c r="AC119" i="2"/>
  <c r="AD119" i="2" s="1"/>
  <c r="AC118" i="2"/>
  <c r="AD118" i="2" s="1"/>
  <c r="AC117" i="2"/>
  <c r="AD117" i="2" s="1"/>
  <c r="AC116" i="2"/>
  <c r="AD116" i="2" s="1"/>
  <c r="AC115" i="2"/>
  <c r="AD115" i="2" s="1"/>
  <c r="AD114" i="2"/>
  <c r="AC114" i="2"/>
  <c r="AC113" i="2"/>
  <c r="AD113" i="2" s="1"/>
  <c r="AC112" i="2"/>
  <c r="AD112" i="2" s="1"/>
  <c r="AC111" i="2"/>
  <c r="AD111" i="2" s="1"/>
  <c r="AC110" i="2"/>
  <c r="AD110" i="2" s="1"/>
  <c r="AC109" i="2"/>
  <c r="AD109" i="2" s="1"/>
  <c r="AC108" i="2"/>
  <c r="AD108" i="2" s="1"/>
  <c r="AC107" i="2"/>
  <c r="AD107" i="2" s="1"/>
  <c r="AC106" i="2"/>
  <c r="AD106" i="2" s="1"/>
  <c r="AC105" i="2"/>
  <c r="AD105" i="2" s="1"/>
  <c r="AC104" i="2"/>
  <c r="AD104" i="2" s="1"/>
  <c r="AC103" i="2"/>
  <c r="AD103" i="2" s="1"/>
  <c r="AC102" i="2"/>
  <c r="AD102" i="2" s="1"/>
  <c r="AC101" i="2"/>
  <c r="AD101" i="2" s="1"/>
  <c r="AC100" i="2"/>
  <c r="AD100" i="2" s="1"/>
  <c r="AC99" i="2"/>
  <c r="AD99" i="2" s="1"/>
  <c r="AC98" i="2"/>
  <c r="AD98" i="2" s="1"/>
  <c r="AC97" i="2"/>
  <c r="AD97" i="2" s="1"/>
  <c r="AC96" i="2"/>
  <c r="AD96" i="2" s="1"/>
  <c r="AC95" i="2"/>
  <c r="AD95" i="2" s="1"/>
  <c r="AC94" i="2"/>
  <c r="AD94" i="2" s="1"/>
  <c r="AC93" i="2"/>
  <c r="AD93" i="2" s="1"/>
  <c r="AC92" i="2"/>
  <c r="AD92" i="2" s="1"/>
  <c r="AC91" i="2"/>
  <c r="AD91" i="2" s="1"/>
  <c r="AC90" i="2"/>
  <c r="AD90" i="2" s="1"/>
  <c r="AC89" i="2"/>
  <c r="AD89" i="2" s="1"/>
  <c r="AC88" i="2"/>
  <c r="AD88" i="2" s="1"/>
  <c r="AC87" i="2"/>
  <c r="AD87" i="2" s="1"/>
  <c r="AC86" i="2"/>
  <c r="AD86" i="2" s="1"/>
  <c r="AC85" i="2"/>
  <c r="AD85" i="2" s="1"/>
  <c r="AC84" i="2"/>
  <c r="AD84" i="2" s="1"/>
  <c r="AC83" i="2"/>
  <c r="AD83" i="2" s="1"/>
  <c r="AC82" i="2"/>
  <c r="AD82" i="2" s="1"/>
  <c r="AC81" i="2"/>
  <c r="AD81" i="2" s="1"/>
  <c r="AC80" i="2"/>
  <c r="AD80" i="2" s="1"/>
  <c r="AC79" i="2"/>
  <c r="AD79" i="2" s="1"/>
  <c r="AC78" i="2"/>
  <c r="AD78" i="2" s="1"/>
  <c r="AC77" i="2"/>
  <c r="AD77" i="2" s="1"/>
  <c r="AC76" i="2"/>
  <c r="AD76" i="2" s="1"/>
  <c r="AC75" i="2"/>
  <c r="AD75" i="2" s="1"/>
  <c r="AC74" i="2"/>
  <c r="AD74" i="2" s="1"/>
  <c r="AC73" i="2"/>
  <c r="AD73" i="2" s="1"/>
  <c r="AC72" i="2"/>
  <c r="AD72" i="2" s="1"/>
  <c r="AC71" i="2"/>
  <c r="AD71" i="2" s="1"/>
  <c r="AC70" i="2"/>
  <c r="AD70" i="2" s="1"/>
  <c r="AC69" i="2"/>
  <c r="AD69" i="2" s="1"/>
  <c r="AC68" i="2"/>
  <c r="AD68" i="2" s="1"/>
  <c r="AC67" i="2"/>
  <c r="AD67" i="2" s="1"/>
  <c r="AC66" i="2"/>
  <c r="AD66" i="2" s="1"/>
  <c r="AC65" i="2"/>
  <c r="AD65" i="2" s="1"/>
  <c r="AC64" i="2"/>
  <c r="AD64" i="2" s="1"/>
  <c r="AC63" i="2"/>
  <c r="AD63" i="2" s="1"/>
  <c r="AC62" i="2"/>
  <c r="AD62" i="2" s="1"/>
  <c r="AC61" i="2"/>
  <c r="AD61" i="2" s="1"/>
  <c r="AC60" i="2"/>
  <c r="AD60" i="2" s="1"/>
  <c r="AC59" i="2"/>
  <c r="AD59" i="2" s="1"/>
  <c r="AC58" i="2"/>
  <c r="AD58" i="2" s="1"/>
  <c r="AC57" i="2"/>
  <c r="AD57" i="2" s="1"/>
  <c r="AC56" i="2"/>
  <c r="AD56" i="2" s="1"/>
  <c r="AC55" i="2"/>
  <c r="AD55" i="2" s="1"/>
  <c r="AC54" i="2"/>
  <c r="AD54" i="2" s="1"/>
  <c r="AC53" i="2"/>
  <c r="AD53" i="2" s="1"/>
  <c r="AC52" i="2"/>
  <c r="AD52" i="2" s="1"/>
  <c r="AC51" i="2"/>
  <c r="AD51" i="2" s="1"/>
  <c r="AC50" i="2"/>
  <c r="AD50" i="2" s="1"/>
  <c r="AC49" i="2"/>
  <c r="AD49" i="2" s="1"/>
  <c r="AC48" i="2"/>
  <c r="AD48" i="2" s="1"/>
  <c r="AC47" i="2"/>
  <c r="AD47" i="2" s="1"/>
  <c r="AC46" i="2"/>
  <c r="AD46" i="2" s="1"/>
  <c r="AC45" i="2"/>
  <c r="AD45" i="2" s="1"/>
  <c r="AC44" i="2"/>
  <c r="AD44" i="2" s="1"/>
  <c r="AC43" i="2"/>
  <c r="AD43" i="2" s="1"/>
  <c r="AC42" i="2"/>
  <c r="AD42" i="2" s="1"/>
  <c r="AC41" i="2"/>
  <c r="AD41" i="2" s="1"/>
  <c r="AC40" i="2"/>
  <c r="AD40" i="2" s="1"/>
  <c r="AC39" i="2"/>
  <c r="AD39" i="2" s="1"/>
  <c r="AC38" i="2"/>
  <c r="AD38" i="2" s="1"/>
  <c r="AC37" i="2"/>
  <c r="AD37" i="2" s="1"/>
  <c r="AC36" i="2"/>
  <c r="AD36" i="2" s="1"/>
  <c r="AC35" i="2"/>
  <c r="AD35" i="2" s="1"/>
  <c r="AC34" i="2"/>
  <c r="AD34" i="2" s="1"/>
  <c r="AC33" i="2"/>
  <c r="AD33" i="2" s="1"/>
  <c r="AC32" i="2"/>
  <c r="AD32" i="2" s="1"/>
  <c r="AC31" i="2"/>
  <c r="AD31" i="2" s="1"/>
  <c r="AC30" i="2"/>
  <c r="AD30" i="2" s="1"/>
  <c r="AC29" i="2"/>
  <c r="AD29" i="2" s="1"/>
  <c r="AC28" i="2"/>
  <c r="AD28" i="2" s="1"/>
  <c r="AC27" i="2"/>
  <c r="AD27" i="2" s="1"/>
  <c r="AC26" i="2"/>
  <c r="AD26" i="2" s="1"/>
  <c r="AC25" i="2"/>
  <c r="AD25" i="2" s="1"/>
  <c r="AD24" i="2"/>
  <c r="AC24" i="2"/>
  <c r="AD23" i="2"/>
  <c r="AC23" i="2"/>
  <c r="AD22" i="2"/>
  <c r="AC22" i="2"/>
  <c r="AD21" i="2"/>
  <c r="AC21" i="2"/>
  <c r="AD20" i="2"/>
  <c r="AC20" i="2"/>
  <c r="AD19" i="2"/>
  <c r="AC19" i="2"/>
  <c r="AD18" i="2"/>
  <c r="AC18" i="2"/>
  <c r="AD17" i="2"/>
  <c r="AC17" i="2"/>
  <c r="AD16" i="2"/>
  <c r="AC16" i="2"/>
  <c r="AD15" i="2"/>
  <c r="AC15" i="2"/>
  <c r="AD14" i="2"/>
  <c r="AC14" i="2"/>
  <c r="AD13" i="2"/>
  <c r="AC13" i="2"/>
  <c r="AD12" i="2"/>
  <c r="AC12" i="2"/>
  <c r="AD11" i="2"/>
  <c r="AC11" i="2"/>
  <c r="AD10" i="2"/>
  <c r="AC10" i="2"/>
  <c r="AD9" i="2"/>
  <c r="AC9" i="2"/>
  <c r="AD8" i="2"/>
  <c r="AC8" i="2"/>
  <c r="F8" i="2"/>
  <c r="AC7" i="2"/>
  <c r="AD7" i="2" s="1"/>
  <c r="AC6" i="2"/>
  <c r="AD6" i="2" s="1"/>
  <c r="L6" i="2"/>
  <c r="K6" i="2"/>
  <c r="F6" i="2"/>
  <c r="H6" i="2" s="1"/>
  <c r="I6" i="2" s="1"/>
  <c r="AC5" i="2"/>
  <c r="AD5" i="2" s="1"/>
  <c r="L5" i="2"/>
  <c r="K5" i="2"/>
  <c r="F5" i="2"/>
  <c r="H5" i="2" s="1"/>
  <c r="I5" i="2" s="1"/>
  <c r="AC4" i="2"/>
  <c r="AD4" i="2" s="1"/>
  <c r="K4" i="2"/>
  <c r="L4" i="2" s="1"/>
  <c r="F4" i="2"/>
  <c r="H4" i="2" s="1"/>
  <c r="I4" i="2" s="1"/>
  <c r="AC3" i="2"/>
  <c r="AD3" i="2" s="1"/>
  <c r="K3" i="2"/>
  <c r="L3" i="2" s="1"/>
  <c r="F3" i="2"/>
  <c r="H3" i="2" s="1"/>
  <c r="I3" i="2" s="1"/>
  <c r="AD2" i="2"/>
  <c r="AC2" i="2"/>
  <c r="K2" i="2"/>
  <c r="L2" i="2" s="1"/>
  <c r="F2" i="2"/>
  <c r="H2" i="2" s="1"/>
  <c r="I2" i="2" s="1"/>
  <c r="C2" i="2"/>
  <c r="G9" i="1" l="1"/>
  <c r="H9" i="1" s="1"/>
  <c r="I9" i="1" s="1"/>
  <c r="S9" i="1"/>
  <c r="T9" i="1" s="1"/>
  <c r="U9" i="1" s="1"/>
  <c r="M4" i="2"/>
  <c r="O4" i="2"/>
  <c r="N4" i="2"/>
  <c r="O5" i="2"/>
  <c r="M2" i="2"/>
  <c r="O2" i="2"/>
  <c r="N2" i="2"/>
  <c r="O3" i="2"/>
  <c r="M3" i="2"/>
  <c r="N3" i="2"/>
  <c r="N5" i="2"/>
  <c r="M5" i="2"/>
  <c r="O6" i="2"/>
  <c r="P6" i="2" s="1"/>
  <c r="M6" i="2"/>
  <c r="N6" i="2"/>
  <c r="Z8" i="1"/>
  <c r="AA8" i="1" s="1"/>
  <c r="W9" i="1"/>
  <c r="X9" i="1" s="1"/>
  <c r="Y9" i="1" s="1"/>
  <c r="K9" i="1"/>
  <c r="O9" i="1"/>
  <c r="P9" i="1" s="1"/>
  <c r="Q9" i="1" s="1"/>
  <c r="G10" i="1" l="1"/>
  <c r="H10" i="1" s="1"/>
  <c r="I10" i="1" s="1"/>
  <c r="S10" i="1"/>
  <c r="U25" i="2"/>
  <c r="U2" i="2"/>
  <c r="V2" i="2" s="1"/>
  <c r="W2" i="2" s="1"/>
  <c r="X2" i="2" s="1"/>
  <c r="Y2" i="2" s="1"/>
  <c r="U4" i="2"/>
  <c r="U3" i="2"/>
  <c r="U15" i="2"/>
  <c r="U23" i="2"/>
  <c r="U21" i="2"/>
  <c r="U19" i="2"/>
  <c r="U17" i="2"/>
  <c r="U13" i="2"/>
  <c r="V13" i="2" s="1"/>
  <c r="W13" i="2" s="1"/>
  <c r="X13" i="2" s="1"/>
  <c r="U11" i="2"/>
  <c r="U9" i="2"/>
  <c r="U7" i="2"/>
  <c r="U5" i="2"/>
  <c r="U24" i="2"/>
  <c r="U22" i="2"/>
  <c r="U20" i="2"/>
  <c r="U18" i="2"/>
  <c r="U16" i="2"/>
  <c r="U14" i="2"/>
  <c r="U12" i="2"/>
  <c r="V12" i="2" s="1"/>
  <c r="W12" i="2" s="1"/>
  <c r="X12" i="2" s="1"/>
  <c r="Y12" i="2" s="1"/>
  <c r="U10" i="2"/>
  <c r="U8" i="2"/>
  <c r="U6" i="2"/>
  <c r="P3" i="2"/>
  <c r="P5" i="2"/>
  <c r="P2" i="2"/>
  <c r="P4" i="2"/>
  <c r="W10" i="1"/>
  <c r="L9" i="1"/>
  <c r="M9" i="1" s="1"/>
  <c r="Z9" i="1" s="1"/>
  <c r="AA9" i="1" s="1"/>
  <c r="K10" i="1"/>
  <c r="O10" i="1"/>
  <c r="G11" i="1" l="1"/>
  <c r="H11" i="1" s="1"/>
  <c r="I11" i="1" s="1"/>
  <c r="T10" i="1"/>
  <c r="U10" i="1" s="1"/>
  <c r="S11" i="1"/>
  <c r="Y13" i="2"/>
  <c r="Y14" i="2" s="1"/>
  <c r="V14" i="2"/>
  <c r="W14" i="2" s="1"/>
  <c r="X14" i="2" s="1"/>
  <c r="V15" i="2"/>
  <c r="W15" i="2" s="1"/>
  <c r="X15" i="2" s="1"/>
  <c r="V3" i="2"/>
  <c r="W3" i="2" s="1"/>
  <c r="X3" i="2" s="1"/>
  <c r="Y3" i="2" s="1"/>
  <c r="P10" i="1"/>
  <c r="Q10" i="1" s="1"/>
  <c r="O11" i="1"/>
  <c r="L10" i="1"/>
  <c r="M10" i="1" s="1"/>
  <c r="K11" i="1"/>
  <c r="X10" i="1"/>
  <c r="Y10" i="1" s="1"/>
  <c r="W11" i="1"/>
  <c r="G12" i="1" l="1"/>
  <c r="H12" i="1" s="1"/>
  <c r="I12" i="1" s="1"/>
  <c r="T11" i="1"/>
  <c r="U11" i="1" s="1"/>
  <c r="S12" i="1"/>
  <c r="V16" i="2"/>
  <c r="V4" i="2"/>
  <c r="Y15" i="2"/>
  <c r="X11" i="1"/>
  <c r="Y11" i="1" s="1"/>
  <c r="W12" i="1"/>
  <c r="Z10" i="1"/>
  <c r="AA10" i="1" s="1"/>
  <c r="L11" i="1"/>
  <c r="M11" i="1" s="1"/>
  <c r="K12" i="1"/>
  <c r="P11" i="1"/>
  <c r="Q11" i="1" s="1"/>
  <c r="O12" i="1"/>
  <c r="G13" i="1" l="1"/>
  <c r="H13" i="1" s="1"/>
  <c r="I13" i="1" s="1"/>
  <c r="T12" i="1"/>
  <c r="U12" i="1" s="1"/>
  <c r="S13" i="1"/>
  <c r="Z11" i="1"/>
  <c r="AA11" i="1" s="1"/>
  <c r="W4" i="2"/>
  <c r="X4" i="2" s="1"/>
  <c r="Y4" i="2" s="1"/>
  <c r="V5" i="2"/>
  <c r="W16" i="2"/>
  <c r="X16" i="2" s="1"/>
  <c r="Y16" i="2" s="1"/>
  <c r="V17" i="2"/>
  <c r="P12" i="1"/>
  <c r="Q12" i="1" s="1"/>
  <c r="O13" i="1"/>
  <c r="L12" i="1"/>
  <c r="M12" i="1" s="1"/>
  <c r="K13" i="1"/>
  <c r="W13" i="1"/>
  <c r="X12" i="1"/>
  <c r="Y12" i="1" s="1"/>
  <c r="G14" i="1" l="1"/>
  <c r="G15" i="1" s="1"/>
  <c r="G16" i="1" s="1"/>
  <c r="G17" i="1" s="1"/>
  <c r="T13" i="1"/>
  <c r="U13" i="1" s="1"/>
  <c r="S14" i="1"/>
  <c r="W17" i="2"/>
  <c r="X17" i="2" s="1"/>
  <c r="Y17" i="2" s="1"/>
  <c r="V18" i="2"/>
  <c r="W5" i="2"/>
  <c r="X5" i="2" s="1"/>
  <c r="V6" i="2"/>
  <c r="Y5" i="2"/>
  <c r="Z12" i="1"/>
  <c r="AA12" i="1" s="1"/>
  <c r="X13" i="1"/>
  <c r="Y13" i="1" s="1"/>
  <c r="W14" i="1"/>
  <c r="L13" i="1"/>
  <c r="M13" i="1" s="1"/>
  <c r="K14" i="1"/>
  <c r="O14" i="1"/>
  <c r="P13" i="1"/>
  <c r="Q13" i="1" s="1"/>
  <c r="H15" i="1" l="1"/>
  <c r="I15" i="1" s="1"/>
  <c r="H14" i="1"/>
  <c r="I14" i="1" s="1"/>
  <c r="H17" i="1"/>
  <c r="I17" i="1" s="1"/>
  <c r="G18" i="1"/>
  <c r="T14" i="1"/>
  <c r="U14" i="1" s="1"/>
  <c r="S15" i="1"/>
  <c r="Z13" i="1"/>
  <c r="AA13" i="1" s="1"/>
  <c r="W6" i="2"/>
  <c r="X6" i="2" s="1"/>
  <c r="Y6" i="2" s="1"/>
  <c r="V7" i="2"/>
  <c r="W18" i="2"/>
  <c r="X18" i="2" s="1"/>
  <c r="Y18" i="2" s="1"/>
  <c r="V19" i="2"/>
  <c r="L14" i="1"/>
  <c r="M14" i="1" s="1"/>
  <c r="K15" i="1"/>
  <c r="P14" i="1"/>
  <c r="Q14" i="1" s="1"/>
  <c r="O15" i="1"/>
  <c r="H16" i="1"/>
  <c r="I16" i="1" s="1"/>
  <c r="X14" i="1"/>
  <c r="Y14" i="1" s="1"/>
  <c r="W15" i="1"/>
  <c r="H18" i="1" l="1"/>
  <c r="I18" i="1" s="1"/>
  <c r="G19" i="1"/>
  <c r="Z14" i="1"/>
  <c r="AA14" i="1" s="1"/>
  <c r="T15" i="1"/>
  <c r="U15" i="1" s="1"/>
  <c r="S16" i="1"/>
  <c r="S17" i="1" s="1"/>
  <c r="W19" i="2"/>
  <c r="X19" i="2" s="1"/>
  <c r="Y19" i="2" s="1"/>
  <c r="V20" i="2"/>
  <c r="W7" i="2"/>
  <c r="X7" i="2" s="1"/>
  <c r="Y7" i="2" s="1"/>
  <c r="V8" i="2"/>
  <c r="L15" i="1"/>
  <c r="M15" i="1" s="1"/>
  <c r="K16" i="1"/>
  <c r="K17" i="1" s="1"/>
  <c r="X15" i="1"/>
  <c r="Y15" i="1" s="1"/>
  <c r="W16" i="1"/>
  <c r="W17" i="1" s="1"/>
  <c r="P15" i="1"/>
  <c r="Q15" i="1" s="1"/>
  <c r="O16" i="1"/>
  <c r="O17" i="1" s="1"/>
  <c r="O18" i="1" l="1"/>
  <c r="P17" i="1"/>
  <c r="Q17" i="1" s="1"/>
  <c r="L17" i="1"/>
  <c r="M17" i="1" s="1"/>
  <c r="K18" i="1"/>
  <c r="X17" i="1"/>
  <c r="Y17" i="1" s="1"/>
  <c r="W18" i="1"/>
  <c r="H19" i="1"/>
  <c r="I19" i="1" s="1"/>
  <c r="G20" i="1"/>
  <c r="T17" i="1"/>
  <c r="U17" i="1" s="1"/>
  <c r="S18" i="1"/>
  <c r="T16" i="1"/>
  <c r="U16" i="1" s="1"/>
  <c r="W8" i="2"/>
  <c r="X8" i="2" s="1"/>
  <c r="Y8" i="2" s="1"/>
  <c r="V9" i="2"/>
  <c r="W20" i="2"/>
  <c r="X20" i="2" s="1"/>
  <c r="Y20" i="2" s="1"/>
  <c r="V21" i="2"/>
  <c r="X16" i="1"/>
  <c r="Y16" i="1" s="1"/>
  <c r="P16" i="1"/>
  <c r="Q16" i="1" s="1"/>
  <c r="Z15" i="1"/>
  <c r="AA15" i="1" s="1"/>
  <c r="L16" i="1"/>
  <c r="M16" i="1" s="1"/>
  <c r="Z17" i="1" l="1"/>
  <c r="AA17" i="1" s="1"/>
  <c r="H20" i="1"/>
  <c r="I20" i="1" s="1"/>
  <c r="G21" i="1"/>
  <c r="T18" i="1"/>
  <c r="U18" i="1" s="1"/>
  <c r="S19" i="1"/>
  <c r="W19" i="1"/>
  <c r="X18" i="1"/>
  <c r="Y18" i="1" s="1"/>
  <c r="L18" i="1"/>
  <c r="M18" i="1" s="1"/>
  <c r="K19" i="1"/>
  <c r="P18" i="1"/>
  <c r="Q18" i="1" s="1"/>
  <c r="O19" i="1"/>
  <c r="W21" i="2"/>
  <c r="X21" i="2" s="1"/>
  <c r="Y21" i="2" s="1"/>
  <c r="V22" i="2"/>
  <c r="W9" i="2"/>
  <c r="X9" i="2" s="1"/>
  <c r="Y9" i="2" s="1"/>
  <c r="V10" i="2"/>
  <c r="Z16" i="1"/>
  <c r="AA16" i="1" s="1"/>
  <c r="O20" i="1" l="1"/>
  <c r="P19" i="1"/>
  <c r="Q19" i="1" s="1"/>
  <c r="K20" i="1"/>
  <c r="L19" i="1"/>
  <c r="M19" i="1" s="1"/>
  <c r="Z18" i="1"/>
  <c r="AA18" i="1" s="1"/>
  <c r="X19" i="1"/>
  <c r="Y19" i="1" s="1"/>
  <c r="W20" i="1"/>
  <c r="T19" i="1"/>
  <c r="U19" i="1" s="1"/>
  <c r="S20" i="1"/>
  <c r="H21" i="1"/>
  <c r="I21" i="1" s="1"/>
  <c r="G22" i="1"/>
  <c r="W10" i="2"/>
  <c r="X10" i="2" s="1"/>
  <c r="Y10" i="2" s="1"/>
  <c r="Y11" i="2" s="1"/>
  <c r="V11" i="2"/>
  <c r="W11" i="2" s="1"/>
  <c r="X11" i="2" s="1"/>
  <c r="W22" i="2"/>
  <c r="X22" i="2" s="1"/>
  <c r="Y22" i="2" s="1"/>
  <c r="V23" i="2"/>
  <c r="H22" i="1" l="1"/>
  <c r="I22" i="1" s="1"/>
  <c r="G23" i="1"/>
  <c r="X20" i="1"/>
  <c r="Y20" i="1" s="1"/>
  <c r="W21" i="1"/>
  <c r="S21" i="1"/>
  <c r="T20" i="1"/>
  <c r="U20" i="1" s="1"/>
  <c r="L20" i="1"/>
  <c r="M20" i="1" s="1"/>
  <c r="K21" i="1"/>
  <c r="Z19" i="1"/>
  <c r="AA19" i="1" s="1"/>
  <c r="O21" i="1"/>
  <c r="P20" i="1"/>
  <c r="Q20" i="1" s="1"/>
  <c r="W23" i="2"/>
  <c r="X23" i="2" s="1"/>
  <c r="Y23" i="2" s="1"/>
  <c r="V24" i="2"/>
  <c r="O22" i="1" l="1"/>
  <c r="P21" i="1"/>
  <c r="Q21" i="1" s="1"/>
  <c r="K22" i="1"/>
  <c r="L21" i="1"/>
  <c r="M21" i="1" s="1"/>
  <c r="Z20" i="1"/>
  <c r="AA20" i="1" s="1"/>
  <c r="T21" i="1"/>
  <c r="U21" i="1" s="1"/>
  <c r="S22" i="1"/>
  <c r="W22" i="1"/>
  <c r="X21" i="1"/>
  <c r="Y21" i="1" s="1"/>
  <c r="H23" i="1"/>
  <c r="I23" i="1" s="1"/>
  <c r="G24" i="1"/>
  <c r="W24" i="2"/>
  <c r="X24" i="2" s="1"/>
  <c r="Y24" i="2" s="1"/>
  <c r="Y25" i="2" s="1"/>
  <c r="V25" i="2"/>
  <c r="W25" i="2" s="1"/>
  <c r="X25" i="2" s="1"/>
  <c r="H24" i="1" l="1"/>
  <c r="I24" i="1" s="1"/>
  <c r="G25" i="1"/>
  <c r="S23" i="1"/>
  <c r="T22" i="1"/>
  <c r="U22" i="1" s="1"/>
  <c r="X22" i="1"/>
  <c r="Y22" i="1" s="1"/>
  <c r="W23" i="1"/>
  <c r="Z21" i="1"/>
  <c r="AA21" i="1" s="1"/>
  <c r="L22" i="1"/>
  <c r="M22" i="1" s="1"/>
  <c r="K23" i="1"/>
  <c r="O23" i="1"/>
  <c r="P22" i="1"/>
  <c r="Q22" i="1" s="1"/>
  <c r="P23" i="1" l="1"/>
  <c r="Q23" i="1" s="1"/>
  <c r="O24" i="1"/>
  <c r="L23" i="1"/>
  <c r="M23" i="1" s="1"/>
  <c r="K24" i="1"/>
  <c r="X23" i="1"/>
  <c r="Y23" i="1" s="1"/>
  <c r="W24" i="1"/>
  <c r="Z22" i="1"/>
  <c r="AA22" i="1" s="1"/>
  <c r="T23" i="1"/>
  <c r="U23" i="1" s="1"/>
  <c r="S24" i="1"/>
  <c r="H25" i="1"/>
  <c r="I25" i="1" s="1"/>
  <c r="G26" i="1"/>
  <c r="H26" i="1" l="1"/>
  <c r="I26" i="1" s="1"/>
  <c r="G27" i="1"/>
  <c r="T24" i="1"/>
  <c r="U24" i="1" s="1"/>
  <c r="S25" i="1"/>
  <c r="Z23" i="1"/>
  <c r="AA23" i="1" s="1"/>
  <c r="X24" i="1"/>
  <c r="Y24" i="1" s="1"/>
  <c r="W25" i="1"/>
  <c r="K25" i="1"/>
  <c r="L24" i="1"/>
  <c r="M24" i="1" s="1"/>
  <c r="O25" i="1"/>
  <c r="P24" i="1"/>
  <c r="Q24" i="1" s="1"/>
  <c r="L25" i="1" l="1"/>
  <c r="M25" i="1" s="1"/>
  <c r="K26" i="1"/>
  <c r="X25" i="1"/>
  <c r="Y25" i="1" s="1"/>
  <c r="W26" i="1"/>
  <c r="O26" i="1"/>
  <c r="P25" i="1"/>
  <c r="Q25" i="1" s="1"/>
  <c r="S26" i="1"/>
  <c r="T25" i="1"/>
  <c r="U25" i="1" s="1"/>
  <c r="Z24" i="1"/>
  <c r="AA24" i="1" s="1"/>
  <c r="H27" i="1"/>
  <c r="I27" i="1" s="1"/>
  <c r="G28" i="1"/>
  <c r="Z25" i="1" l="1"/>
  <c r="AA25" i="1" s="1"/>
  <c r="S27" i="1"/>
  <c r="T26" i="1"/>
  <c r="U26" i="1" s="1"/>
  <c r="H28" i="1"/>
  <c r="I28" i="1" s="1"/>
  <c r="G29" i="1"/>
  <c r="P26" i="1"/>
  <c r="Q26" i="1" s="1"/>
  <c r="O27" i="1"/>
  <c r="X26" i="1"/>
  <c r="Y26" i="1" s="1"/>
  <c r="W27" i="1"/>
  <c r="L26" i="1"/>
  <c r="M26" i="1" s="1"/>
  <c r="K27" i="1"/>
  <c r="L27" i="1" l="1"/>
  <c r="M27" i="1" s="1"/>
  <c r="K28" i="1"/>
  <c r="X27" i="1"/>
  <c r="Y27" i="1" s="1"/>
  <c r="W28" i="1"/>
  <c r="P27" i="1"/>
  <c r="Q27" i="1" s="1"/>
  <c r="O28" i="1"/>
  <c r="Z26" i="1"/>
  <c r="AA26" i="1" s="1"/>
  <c r="G30" i="1"/>
  <c r="H29" i="1"/>
  <c r="I29" i="1" s="1"/>
  <c r="S28" i="1"/>
  <c r="T27" i="1"/>
  <c r="U27" i="1" s="1"/>
  <c r="Z27" i="1" l="1"/>
  <c r="AA27" i="1" s="1"/>
  <c r="T28" i="1"/>
  <c r="U28" i="1" s="1"/>
  <c r="S29" i="1"/>
  <c r="H30" i="1"/>
  <c r="I30" i="1" s="1"/>
  <c r="G31" i="1"/>
  <c r="P28" i="1"/>
  <c r="Q28" i="1" s="1"/>
  <c r="O29" i="1"/>
  <c r="W29" i="1"/>
  <c r="X28" i="1"/>
  <c r="Y28" i="1" s="1"/>
  <c r="K29" i="1"/>
  <c r="L28" i="1"/>
  <c r="M28" i="1" s="1"/>
  <c r="K30" i="1" l="1"/>
  <c r="L29" i="1"/>
  <c r="M29" i="1" s="1"/>
  <c r="P29" i="1"/>
  <c r="Q29" i="1" s="1"/>
  <c r="O30" i="1"/>
  <c r="X29" i="1"/>
  <c r="Y29" i="1" s="1"/>
  <c r="W30" i="1"/>
  <c r="Z28" i="1"/>
  <c r="AA28" i="1" s="1"/>
  <c r="G32" i="1"/>
  <c r="H31" i="1"/>
  <c r="I31" i="1" s="1"/>
  <c r="S30" i="1"/>
  <c r="T29" i="1"/>
  <c r="U29" i="1" s="1"/>
  <c r="X30" i="1" l="1"/>
  <c r="Y30" i="1" s="1"/>
  <c r="W31" i="1"/>
  <c r="P30" i="1"/>
  <c r="Q30" i="1" s="1"/>
  <c r="O31" i="1"/>
  <c r="T30" i="1"/>
  <c r="U30" i="1" s="1"/>
  <c r="S31" i="1"/>
  <c r="G33" i="1"/>
  <c r="H32" i="1"/>
  <c r="I32" i="1" s="1"/>
  <c r="Z29" i="1"/>
  <c r="AA29" i="1" s="1"/>
  <c r="K31" i="1"/>
  <c r="L30" i="1"/>
  <c r="M30" i="1" s="1"/>
  <c r="L31" i="1" l="1"/>
  <c r="M31" i="1" s="1"/>
  <c r="K32" i="1"/>
  <c r="S32" i="1"/>
  <c r="T31" i="1"/>
  <c r="U31" i="1" s="1"/>
  <c r="H33" i="1"/>
  <c r="I33" i="1" s="1"/>
  <c r="G34" i="1"/>
  <c r="P31" i="1"/>
  <c r="Q31" i="1" s="1"/>
  <c r="O32" i="1"/>
  <c r="Z30" i="1"/>
  <c r="AA30" i="1" s="1"/>
  <c r="X31" i="1"/>
  <c r="Y31" i="1" s="1"/>
  <c r="W32" i="1"/>
  <c r="W33" i="1" l="1"/>
  <c r="X32" i="1"/>
  <c r="Y32" i="1" s="1"/>
  <c r="G35" i="1"/>
  <c r="H34" i="1"/>
  <c r="I34" i="1" s="1"/>
  <c r="P32" i="1"/>
  <c r="Q32" i="1" s="1"/>
  <c r="O33" i="1"/>
  <c r="Z31" i="1"/>
  <c r="AA31" i="1" s="1"/>
  <c r="S33" i="1"/>
  <c r="T32" i="1"/>
  <c r="U32" i="1" s="1"/>
  <c r="K33" i="1"/>
  <c r="L32" i="1"/>
  <c r="M32" i="1" s="1"/>
  <c r="P33" i="1" l="1"/>
  <c r="Q33" i="1" s="1"/>
  <c r="O34" i="1"/>
  <c r="T33" i="1"/>
  <c r="U33" i="1" s="1"/>
  <c r="S34" i="1"/>
  <c r="Z32" i="1"/>
  <c r="AA32" i="1" s="1"/>
  <c r="K34" i="1"/>
  <c r="L33" i="1"/>
  <c r="M33" i="1" s="1"/>
  <c r="H35" i="1"/>
  <c r="I35" i="1" s="1"/>
  <c r="G36" i="1"/>
  <c r="X33" i="1"/>
  <c r="Y33" i="1" s="1"/>
  <c r="W34" i="1"/>
  <c r="X34" i="1" l="1"/>
  <c r="Y34" i="1" s="1"/>
  <c r="W35" i="1"/>
  <c r="H36" i="1"/>
  <c r="I36" i="1" s="1"/>
  <c r="G37" i="1"/>
  <c r="K35" i="1"/>
  <c r="L34" i="1"/>
  <c r="M34" i="1" s="1"/>
  <c r="S35" i="1"/>
  <c r="T34" i="1"/>
  <c r="U34" i="1" s="1"/>
  <c r="Z33" i="1"/>
  <c r="AA33" i="1" s="1"/>
  <c r="O35" i="1"/>
  <c r="P34" i="1"/>
  <c r="Q34" i="1" s="1"/>
  <c r="P35" i="1" l="1"/>
  <c r="Q35" i="1" s="1"/>
  <c r="O36" i="1"/>
  <c r="T35" i="1"/>
  <c r="U35" i="1" s="1"/>
  <c r="S36" i="1"/>
  <c r="L35" i="1"/>
  <c r="M35" i="1" s="1"/>
  <c r="K36" i="1"/>
  <c r="G38" i="1"/>
  <c r="H37" i="1"/>
  <c r="I37" i="1" s="1"/>
  <c r="W36" i="1"/>
  <c r="X35" i="1"/>
  <c r="Y35" i="1" s="1"/>
  <c r="Z34" i="1"/>
  <c r="AA34" i="1" s="1"/>
  <c r="Z35" i="1" l="1"/>
  <c r="AA35" i="1" s="1"/>
  <c r="X36" i="1"/>
  <c r="Y36" i="1" s="1"/>
  <c r="W37" i="1"/>
  <c r="L36" i="1"/>
  <c r="M36" i="1" s="1"/>
  <c r="K37" i="1"/>
  <c r="H38" i="1"/>
  <c r="I38" i="1" s="1"/>
  <c r="G39" i="1"/>
  <c r="S37" i="1"/>
  <c r="T36" i="1"/>
  <c r="U36" i="1" s="1"/>
  <c r="P36" i="1"/>
  <c r="Q36" i="1" s="1"/>
  <c r="O37" i="1"/>
  <c r="T37" i="1" l="1"/>
  <c r="U37" i="1" s="1"/>
  <c r="S38" i="1"/>
  <c r="O38" i="1"/>
  <c r="P37" i="1"/>
  <c r="Q37" i="1" s="1"/>
  <c r="Z36" i="1"/>
  <c r="AA36" i="1" s="1"/>
  <c r="G40" i="1"/>
  <c r="H39" i="1"/>
  <c r="I39" i="1" s="1"/>
  <c r="L37" i="1"/>
  <c r="M37" i="1" s="1"/>
  <c r="K38" i="1"/>
  <c r="X37" i="1"/>
  <c r="Y37" i="1" s="1"/>
  <c r="W38" i="1"/>
  <c r="X38" i="1" l="1"/>
  <c r="Y38" i="1" s="1"/>
  <c r="W39" i="1"/>
  <c r="K39" i="1"/>
  <c r="L38" i="1"/>
  <c r="M38" i="1" s="1"/>
  <c r="H40" i="1"/>
  <c r="I40" i="1" s="1"/>
  <c r="G41" i="1"/>
  <c r="O39" i="1"/>
  <c r="P38" i="1"/>
  <c r="Q38" i="1" s="1"/>
  <c r="S39" i="1"/>
  <c r="T38" i="1"/>
  <c r="U38" i="1" s="1"/>
  <c r="Z37" i="1"/>
  <c r="AA37" i="1" s="1"/>
  <c r="S40" i="1" l="1"/>
  <c r="T39" i="1"/>
  <c r="U39" i="1" s="1"/>
  <c r="P39" i="1"/>
  <c r="Q39" i="1" s="1"/>
  <c r="O40" i="1"/>
  <c r="G42" i="1"/>
  <c r="H41" i="1"/>
  <c r="I41" i="1" s="1"/>
  <c r="L39" i="1"/>
  <c r="M39" i="1" s="1"/>
  <c r="K40" i="1"/>
  <c r="W40" i="1"/>
  <c r="X39" i="1"/>
  <c r="Y39" i="1" s="1"/>
  <c r="Z38" i="1"/>
  <c r="AA38" i="1" s="1"/>
  <c r="L40" i="1" l="1"/>
  <c r="M40" i="1" s="1"/>
  <c r="K41" i="1"/>
  <c r="W41" i="1"/>
  <c r="X40" i="1"/>
  <c r="Y40" i="1" s="1"/>
  <c r="G43" i="1"/>
  <c r="H42" i="1"/>
  <c r="I42" i="1" s="1"/>
  <c r="O41" i="1"/>
  <c r="P40" i="1"/>
  <c r="Q40" i="1" s="1"/>
  <c r="Z39" i="1"/>
  <c r="AA39" i="1" s="1"/>
  <c r="S41" i="1"/>
  <c r="T40" i="1"/>
  <c r="U40" i="1" s="1"/>
  <c r="S42" i="1" l="1"/>
  <c r="T41" i="1"/>
  <c r="U41" i="1" s="1"/>
  <c r="P41" i="1"/>
  <c r="Q41" i="1" s="1"/>
  <c r="O42" i="1"/>
  <c r="H43" i="1"/>
  <c r="I43" i="1" s="1"/>
  <c r="G44" i="1"/>
  <c r="Z40" i="1"/>
  <c r="AA40" i="1" s="1"/>
  <c r="W42" i="1"/>
  <c r="X41" i="1"/>
  <c r="Y41" i="1" s="1"/>
  <c r="L41" i="1"/>
  <c r="M41" i="1" s="1"/>
  <c r="K42" i="1"/>
  <c r="L42" i="1" l="1"/>
  <c r="M42" i="1" s="1"/>
  <c r="K43" i="1"/>
  <c r="W43" i="1"/>
  <c r="X42" i="1"/>
  <c r="Y42" i="1" s="1"/>
  <c r="G45" i="1"/>
  <c r="H44" i="1"/>
  <c r="I44" i="1" s="1"/>
  <c r="P42" i="1"/>
  <c r="Q42" i="1" s="1"/>
  <c r="O43" i="1"/>
  <c r="Z41" i="1"/>
  <c r="AA41" i="1" s="1"/>
  <c r="T42" i="1"/>
  <c r="U42" i="1" s="1"/>
  <c r="S43" i="1"/>
  <c r="Z42" i="1" l="1"/>
  <c r="AA42" i="1" s="1"/>
  <c r="T43" i="1"/>
  <c r="U43" i="1" s="1"/>
  <c r="S44" i="1"/>
  <c r="P43" i="1"/>
  <c r="Q43" i="1" s="1"/>
  <c r="O44" i="1"/>
  <c r="H45" i="1"/>
  <c r="I45" i="1" s="1"/>
  <c r="G46" i="1"/>
  <c r="W44" i="1"/>
  <c r="X43" i="1"/>
  <c r="Y43" i="1" s="1"/>
  <c r="L43" i="1"/>
  <c r="M43" i="1" s="1"/>
  <c r="K44" i="1"/>
  <c r="Z43" i="1" l="1"/>
  <c r="AA43" i="1" s="1"/>
  <c r="K45" i="1"/>
  <c r="L44" i="1"/>
  <c r="M44" i="1" s="1"/>
  <c r="W45" i="1"/>
  <c r="X44" i="1"/>
  <c r="Y44" i="1" s="1"/>
  <c r="H46" i="1"/>
  <c r="I46" i="1" s="1"/>
  <c r="G47" i="1"/>
  <c r="P44" i="1"/>
  <c r="Q44" i="1" s="1"/>
  <c r="O45" i="1"/>
  <c r="S45" i="1"/>
  <c r="T44" i="1"/>
  <c r="U44" i="1" s="1"/>
  <c r="Z44" i="1" s="1"/>
  <c r="AA44" i="1" s="1"/>
  <c r="T45" i="1" l="1"/>
  <c r="U45" i="1" s="1"/>
  <c r="S46" i="1"/>
  <c r="O46" i="1"/>
  <c r="P45" i="1"/>
  <c r="Q45" i="1" s="1"/>
  <c r="H47" i="1"/>
  <c r="I47" i="1" s="1"/>
  <c r="G48" i="1"/>
  <c r="X45" i="1"/>
  <c r="Y45" i="1" s="1"/>
  <c r="W46" i="1"/>
  <c r="K46" i="1"/>
  <c r="L45" i="1"/>
  <c r="M45" i="1" s="1"/>
  <c r="L46" i="1" l="1"/>
  <c r="M46" i="1" s="1"/>
  <c r="K47" i="1"/>
  <c r="X46" i="1"/>
  <c r="Y46" i="1" s="1"/>
  <c r="W47" i="1"/>
  <c r="Z45" i="1"/>
  <c r="AA45" i="1" s="1"/>
  <c r="H48" i="1"/>
  <c r="I48" i="1" s="1"/>
  <c r="G49" i="1"/>
  <c r="P46" i="1"/>
  <c r="Q46" i="1" s="1"/>
  <c r="O47" i="1"/>
  <c r="S47" i="1"/>
  <c r="T46" i="1"/>
  <c r="U46" i="1" s="1"/>
  <c r="Z46" i="1" s="1"/>
  <c r="AA46" i="1" s="1"/>
  <c r="O48" i="1" l="1"/>
  <c r="P47" i="1"/>
  <c r="Q47" i="1" s="1"/>
  <c r="T47" i="1"/>
  <c r="U47" i="1" s="1"/>
  <c r="S48" i="1"/>
  <c r="H49" i="1"/>
  <c r="I49" i="1" s="1"/>
  <c r="G50" i="1"/>
  <c r="W48" i="1"/>
  <c r="X47" i="1"/>
  <c r="Y47" i="1" s="1"/>
  <c r="K48" i="1"/>
  <c r="L47" i="1"/>
  <c r="M47" i="1" s="1"/>
  <c r="Z47" i="1" l="1"/>
  <c r="AA47" i="1" s="1"/>
  <c r="H50" i="1"/>
  <c r="I50" i="1" s="1"/>
  <c r="G51" i="1"/>
  <c r="K49" i="1"/>
  <c r="L48" i="1"/>
  <c r="M48" i="1" s="1"/>
  <c r="X48" i="1"/>
  <c r="Y48" i="1" s="1"/>
  <c r="W49" i="1"/>
  <c r="S49" i="1"/>
  <c r="T48" i="1"/>
  <c r="U48" i="1" s="1"/>
  <c r="P48" i="1"/>
  <c r="Q48" i="1" s="1"/>
  <c r="O49" i="1"/>
  <c r="X49" i="1" l="1"/>
  <c r="Y49" i="1" s="1"/>
  <c r="W50" i="1"/>
  <c r="O50" i="1"/>
  <c r="P49" i="1"/>
  <c r="Q49" i="1" s="1"/>
  <c r="Z48" i="1"/>
  <c r="AA48" i="1" s="1"/>
  <c r="T49" i="1"/>
  <c r="U49" i="1" s="1"/>
  <c r="S50" i="1"/>
  <c r="L49" i="1"/>
  <c r="M49" i="1" s="1"/>
  <c r="K50" i="1"/>
  <c r="G52" i="1"/>
  <c r="H51" i="1"/>
  <c r="I51" i="1" s="1"/>
  <c r="T50" i="1" l="1"/>
  <c r="U50" i="1" s="1"/>
  <c r="S51" i="1"/>
  <c r="H52" i="1"/>
  <c r="I52" i="1" s="1"/>
  <c r="G53" i="1"/>
  <c r="K51" i="1"/>
  <c r="L50" i="1"/>
  <c r="M50" i="1" s="1"/>
  <c r="Z49" i="1"/>
  <c r="AA49" i="1" s="1"/>
  <c r="O51" i="1"/>
  <c r="P50" i="1"/>
  <c r="Q50" i="1" s="1"/>
  <c r="X50" i="1"/>
  <c r="Y50" i="1" s="1"/>
  <c r="W51" i="1"/>
  <c r="X51" i="1" l="1"/>
  <c r="Y51" i="1" s="1"/>
  <c r="W52" i="1"/>
  <c r="P51" i="1"/>
  <c r="Q51" i="1" s="1"/>
  <c r="O52" i="1"/>
  <c r="L51" i="1"/>
  <c r="M51" i="1" s="1"/>
  <c r="K52" i="1"/>
  <c r="H53" i="1"/>
  <c r="I53" i="1" s="1"/>
  <c r="G54" i="1"/>
  <c r="S52" i="1"/>
  <c r="T51" i="1"/>
  <c r="U51" i="1" s="1"/>
  <c r="Z50" i="1"/>
  <c r="AA50" i="1" s="1"/>
  <c r="H54" i="1" l="1"/>
  <c r="I54" i="1" s="1"/>
  <c r="G55" i="1"/>
  <c r="T52" i="1"/>
  <c r="U52" i="1" s="1"/>
  <c r="S53" i="1"/>
  <c r="K53" i="1"/>
  <c r="L52" i="1"/>
  <c r="M52" i="1" s="1"/>
  <c r="P52" i="1"/>
  <c r="Q52" i="1" s="1"/>
  <c r="O53" i="1"/>
  <c r="W53" i="1"/>
  <c r="X52" i="1"/>
  <c r="Y52" i="1" s="1"/>
  <c r="Z51" i="1"/>
  <c r="AA51" i="1" s="1"/>
  <c r="X53" i="1" l="1"/>
  <c r="Y53" i="1" s="1"/>
  <c r="W54" i="1"/>
  <c r="L53" i="1"/>
  <c r="M53" i="1" s="1"/>
  <c r="K54" i="1"/>
  <c r="P53" i="1"/>
  <c r="Q53" i="1" s="1"/>
  <c r="O54" i="1"/>
  <c r="S54" i="1"/>
  <c r="T53" i="1"/>
  <c r="U53" i="1" s="1"/>
  <c r="Z52" i="1"/>
  <c r="AA52" i="1" s="1"/>
  <c r="H55" i="1"/>
  <c r="I55" i="1" s="1"/>
  <c r="G56" i="1"/>
  <c r="H56" i="1" l="1"/>
  <c r="I56" i="1" s="1"/>
  <c r="G57" i="1"/>
  <c r="S55" i="1"/>
  <c r="T54" i="1"/>
  <c r="U54" i="1" s="1"/>
  <c r="P54" i="1"/>
  <c r="Q54" i="1" s="1"/>
  <c r="O55" i="1"/>
  <c r="K55" i="1"/>
  <c r="L54" i="1"/>
  <c r="M54" i="1" s="1"/>
  <c r="W55" i="1"/>
  <c r="X54" i="1"/>
  <c r="Y54" i="1" s="1"/>
  <c r="Z53" i="1"/>
  <c r="AA53" i="1" s="1"/>
  <c r="X55" i="1" l="1"/>
  <c r="Y55" i="1" s="1"/>
  <c r="W56" i="1"/>
  <c r="L55" i="1"/>
  <c r="M55" i="1" s="1"/>
  <c r="K56" i="1"/>
  <c r="O56" i="1"/>
  <c r="P55" i="1"/>
  <c r="Q55" i="1" s="1"/>
  <c r="Z54" i="1"/>
  <c r="AA54" i="1" s="1"/>
  <c r="S56" i="1"/>
  <c r="T55" i="1"/>
  <c r="U55" i="1" s="1"/>
  <c r="H57" i="1"/>
  <c r="I57" i="1" s="1"/>
  <c r="G58" i="1"/>
  <c r="P56" i="1" l="1"/>
  <c r="Q56" i="1" s="1"/>
  <c r="O57" i="1"/>
  <c r="G59" i="1"/>
  <c r="H58" i="1"/>
  <c r="I58" i="1" s="1"/>
  <c r="T56" i="1"/>
  <c r="U56" i="1" s="1"/>
  <c r="S57" i="1"/>
  <c r="K57" i="1"/>
  <c r="L56" i="1"/>
  <c r="M56" i="1" s="1"/>
  <c r="Z55" i="1"/>
  <c r="AA55" i="1" s="1"/>
  <c r="W57" i="1"/>
  <c r="X56" i="1"/>
  <c r="Y56" i="1" s="1"/>
  <c r="S58" i="1" l="1"/>
  <c r="T57" i="1"/>
  <c r="U57" i="1" s="1"/>
  <c r="X57" i="1"/>
  <c r="Y57" i="1" s="1"/>
  <c r="W58" i="1"/>
  <c r="L57" i="1"/>
  <c r="M57" i="1" s="1"/>
  <c r="K58" i="1"/>
  <c r="Z56" i="1"/>
  <c r="AA56" i="1" s="1"/>
  <c r="H59" i="1"/>
  <c r="I59" i="1" s="1"/>
  <c r="G60" i="1"/>
  <c r="P57" i="1"/>
  <c r="Q57" i="1" s="1"/>
  <c r="O58" i="1"/>
  <c r="O59" i="1" l="1"/>
  <c r="P58" i="1"/>
  <c r="Q58" i="1" s="1"/>
  <c r="K59" i="1"/>
  <c r="L58" i="1"/>
  <c r="M58" i="1" s="1"/>
  <c r="G61" i="1"/>
  <c r="H60" i="1"/>
  <c r="I60" i="1" s="1"/>
  <c r="X58" i="1"/>
  <c r="Y58" i="1" s="1"/>
  <c r="W59" i="1"/>
  <c r="Z57" i="1"/>
  <c r="AA57" i="1" s="1"/>
  <c r="T58" i="1"/>
  <c r="U58" i="1" s="1"/>
  <c r="Z58" i="1" s="1"/>
  <c r="AA58" i="1" s="1"/>
  <c r="S59" i="1"/>
  <c r="T59" i="1" l="1"/>
  <c r="U59" i="1" s="1"/>
  <c r="S60" i="1"/>
  <c r="X59" i="1"/>
  <c r="Y59" i="1" s="1"/>
  <c r="W60" i="1"/>
  <c r="H61" i="1"/>
  <c r="I61" i="1" s="1"/>
  <c r="G62" i="1"/>
  <c r="L59" i="1"/>
  <c r="M59" i="1" s="1"/>
  <c r="K60" i="1"/>
  <c r="P59" i="1"/>
  <c r="Q59" i="1" s="1"/>
  <c r="O60" i="1"/>
  <c r="K61" i="1" l="1"/>
  <c r="L60" i="1"/>
  <c r="M60" i="1" s="1"/>
  <c r="P60" i="1"/>
  <c r="Q60" i="1" s="1"/>
  <c r="O61" i="1"/>
  <c r="G63" i="1"/>
  <c r="H62" i="1"/>
  <c r="I62" i="1" s="1"/>
  <c r="X60" i="1"/>
  <c r="Y60" i="1" s="1"/>
  <c r="W61" i="1"/>
  <c r="S61" i="1"/>
  <c r="T60" i="1"/>
  <c r="U60" i="1" s="1"/>
  <c r="Z59" i="1"/>
  <c r="AA59" i="1" s="1"/>
  <c r="S62" i="1" l="1"/>
  <c r="T61" i="1"/>
  <c r="U61" i="1" s="1"/>
  <c r="W62" i="1"/>
  <c r="X61" i="1"/>
  <c r="Y61" i="1" s="1"/>
  <c r="H63" i="1"/>
  <c r="I63" i="1" s="1"/>
  <c r="G64" i="1"/>
  <c r="P61" i="1"/>
  <c r="Q61" i="1" s="1"/>
  <c r="O62" i="1"/>
  <c r="Z60" i="1"/>
  <c r="AA60" i="1" s="1"/>
  <c r="K62" i="1"/>
  <c r="L61" i="1"/>
  <c r="M61" i="1" s="1"/>
  <c r="H64" i="1" l="1"/>
  <c r="I64" i="1" s="1"/>
  <c r="G65" i="1"/>
  <c r="L62" i="1"/>
  <c r="M62" i="1" s="1"/>
  <c r="K63" i="1"/>
  <c r="P62" i="1"/>
  <c r="Q62" i="1" s="1"/>
  <c r="O63" i="1"/>
  <c r="W63" i="1"/>
  <c r="X62" i="1"/>
  <c r="Y62" i="1" s="1"/>
  <c r="Z61" i="1"/>
  <c r="AA61" i="1" s="1"/>
  <c r="S63" i="1"/>
  <c r="T62" i="1"/>
  <c r="U62" i="1" s="1"/>
  <c r="Z62" i="1" l="1"/>
  <c r="AA62" i="1" s="1"/>
  <c r="S64" i="1"/>
  <c r="T63" i="1"/>
  <c r="U63" i="1" s="1"/>
  <c r="X63" i="1"/>
  <c r="Y63" i="1" s="1"/>
  <c r="W64" i="1"/>
  <c r="P63" i="1"/>
  <c r="Q63" i="1" s="1"/>
  <c r="O64" i="1"/>
  <c r="L63" i="1"/>
  <c r="M63" i="1" s="1"/>
  <c r="K64" i="1"/>
  <c r="G66" i="1"/>
  <c r="H65" i="1"/>
  <c r="I65" i="1" s="1"/>
  <c r="G67" i="1" l="1"/>
  <c r="H66" i="1"/>
  <c r="I66" i="1" s="1"/>
  <c r="L64" i="1"/>
  <c r="M64" i="1" s="1"/>
  <c r="K65" i="1"/>
  <c r="P64" i="1"/>
  <c r="Q64" i="1" s="1"/>
  <c r="O65" i="1"/>
  <c r="W65" i="1"/>
  <c r="X64" i="1"/>
  <c r="Y64" i="1" s="1"/>
  <c r="Z63" i="1"/>
  <c r="AA63" i="1" s="1"/>
  <c r="T64" i="1"/>
  <c r="U64" i="1" s="1"/>
  <c r="S65" i="1"/>
  <c r="Z64" i="1" l="1"/>
  <c r="AA64" i="1" s="1"/>
  <c r="S66" i="1"/>
  <c r="T65" i="1"/>
  <c r="U65" i="1" s="1"/>
  <c r="X65" i="1"/>
  <c r="Y65" i="1" s="1"/>
  <c r="W66" i="1"/>
  <c r="P65" i="1"/>
  <c r="Q65" i="1" s="1"/>
  <c r="O66" i="1"/>
  <c r="L65" i="1"/>
  <c r="M65" i="1" s="1"/>
  <c r="K66" i="1"/>
  <c r="H67" i="1"/>
  <c r="I67" i="1" s="1"/>
  <c r="G68" i="1"/>
  <c r="L66" i="1" l="1"/>
  <c r="M66" i="1" s="1"/>
  <c r="K67" i="1"/>
  <c r="G69" i="1"/>
  <c r="H68" i="1"/>
  <c r="I68" i="1" s="1"/>
  <c r="O67" i="1"/>
  <c r="P66" i="1"/>
  <c r="Q66" i="1" s="1"/>
  <c r="X66" i="1"/>
  <c r="Y66" i="1" s="1"/>
  <c r="W67" i="1"/>
  <c r="Z65" i="1"/>
  <c r="AA65" i="1" s="1"/>
  <c r="T66" i="1"/>
  <c r="U66" i="1" s="1"/>
  <c r="Z66" i="1" s="1"/>
  <c r="AA66" i="1" s="1"/>
  <c r="S67" i="1"/>
  <c r="X67" i="1" l="1"/>
  <c r="Y67" i="1" s="1"/>
  <c r="W68" i="1"/>
  <c r="S68" i="1"/>
  <c r="T67" i="1"/>
  <c r="U67" i="1" s="1"/>
  <c r="O68" i="1"/>
  <c r="P67" i="1"/>
  <c r="Q67" i="1" s="1"/>
  <c r="H69" i="1"/>
  <c r="I69" i="1" s="1"/>
  <c r="G70" i="1"/>
  <c r="L67" i="1"/>
  <c r="M67" i="1" s="1"/>
  <c r="K68" i="1"/>
  <c r="L68" i="1" l="1"/>
  <c r="M68" i="1" s="1"/>
  <c r="K69" i="1"/>
  <c r="H70" i="1"/>
  <c r="I70" i="1" s="1"/>
  <c r="G71" i="1"/>
  <c r="Z67" i="1"/>
  <c r="AA67" i="1" s="1"/>
  <c r="P68" i="1"/>
  <c r="Q68" i="1" s="1"/>
  <c r="O69" i="1"/>
  <c r="T68" i="1"/>
  <c r="U68" i="1" s="1"/>
  <c r="S69" i="1"/>
  <c r="X68" i="1"/>
  <c r="Y68" i="1" s="1"/>
  <c r="W69" i="1"/>
  <c r="T69" i="1" l="1"/>
  <c r="U69" i="1" s="1"/>
  <c r="S70" i="1"/>
  <c r="O70" i="1"/>
  <c r="P69" i="1"/>
  <c r="Q69" i="1" s="1"/>
  <c r="X69" i="1"/>
  <c r="Y69" i="1" s="1"/>
  <c r="W70" i="1"/>
  <c r="Z68" i="1"/>
  <c r="AA68" i="1" s="1"/>
  <c r="H71" i="1"/>
  <c r="I71" i="1" s="1"/>
  <c r="G72" i="1"/>
  <c r="K70" i="1"/>
  <c r="L69" i="1"/>
  <c r="M69" i="1" s="1"/>
  <c r="H72" i="1" l="1"/>
  <c r="I72" i="1" s="1"/>
  <c r="G73" i="1"/>
  <c r="H73" i="1" s="1"/>
  <c r="I73" i="1" s="1"/>
  <c r="K71" i="1"/>
  <c r="L70" i="1"/>
  <c r="M70" i="1" s="1"/>
  <c r="W71" i="1"/>
  <c r="X70" i="1"/>
  <c r="Y70" i="1" s="1"/>
  <c r="P70" i="1"/>
  <c r="Q70" i="1" s="1"/>
  <c r="O71" i="1"/>
  <c r="T70" i="1"/>
  <c r="U70" i="1" s="1"/>
  <c r="S71" i="1"/>
  <c r="Z69" i="1"/>
  <c r="AA69" i="1" s="1"/>
  <c r="S72" i="1" l="1"/>
  <c r="T71" i="1"/>
  <c r="U71" i="1" s="1"/>
  <c r="O72" i="1"/>
  <c r="P71" i="1"/>
  <c r="Q71" i="1" s="1"/>
  <c r="Z70" i="1"/>
  <c r="AA70" i="1" s="1"/>
  <c r="X71" i="1"/>
  <c r="Y71" i="1" s="1"/>
  <c r="W72" i="1"/>
  <c r="K72" i="1"/>
  <c r="L71" i="1"/>
  <c r="M71" i="1" s="1"/>
  <c r="L72" i="1" l="1"/>
  <c r="M72" i="1" s="1"/>
  <c r="K73" i="1"/>
  <c r="L73" i="1" s="1"/>
  <c r="M73" i="1" s="1"/>
  <c r="X72" i="1"/>
  <c r="Y72" i="1" s="1"/>
  <c r="W73" i="1"/>
  <c r="X73" i="1" s="1"/>
  <c r="Y73" i="1" s="1"/>
  <c r="P72" i="1"/>
  <c r="Q72" i="1" s="1"/>
  <c r="O73" i="1"/>
  <c r="P73" i="1" s="1"/>
  <c r="Q73" i="1" s="1"/>
  <c r="Z71" i="1"/>
  <c r="AA71" i="1" s="1"/>
  <c r="T72" i="1"/>
  <c r="U72" i="1" s="1"/>
  <c r="S73" i="1"/>
  <c r="T73" i="1" s="1"/>
  <c r="U73" i="1" s="1"/>
  <c r="Z72" i="1" l="1"/>
  <c r="AA72" i="1" s="1"/>
  <c r="Z73" i="1"/>
  <c r="AA73" i="1" s="1"/>
</calcChain>
</file>

<file path=xl/sharedStrings.xml><?xml version="1.0" encoding="utf-8"?>
<sst xmlns="http://schemas.openxmlformats.org/spreadsheetml/2006/main" count="161" uniqueCount="123">
  <si>
    <t>実績数</t>
  </si>
  <si>
    <t>呼び番号</t>
    <rPh sb="0" eb="1">
      <t>ヨ</t>
    </rPh>
    <rPh sb="2" eb="4">
      <t>バンゴウ</t>
    </rPh>
    <phoneticPr fontId="1"/>
  </si>
  <si>
    <t>時間番号の残り時間</t>
    <rPh sb="0" eb="4">
      <t>ジカンバンゴウ</t>
    </rPh>
    <rPh sb="5" eb="6">
      <t>ノコ</t>
    </rPh>
    <rPh sb="7" eb="9">
      <t>ジカン</t>
    </rPh>
    <phoneticPr fontId="1"/>
  </si>
  <si>
    <t>終わった時間"-"</t>
    <rPh sb="0" eb="1">
      <t>オ</t>
    </rPh>
    <rPh sb="4" eb="6">
      <t>ジカン</t>
    </rPh>
    <phoneticPr fontId="1"/>
  </si>
  <si>
    <t>残り時間</t>
    <rPh sb="0" eb="1">
      <t>ノコ</t>
    </rPh>
    <rPh sb="2" eb="4">
      <t>ジカン</t>
    </rPh>
    <phoneticPr fontId="1"/>
  </si>
  <si>
    <t>10分当たり計画数</t>
    <rPh sb="2" eb="3">
      <t>フン</t>
    </rPh>
    <rPh sb="3" eb="4">
      <t>ア</t>
    </rPh>
    <rPh sb="6" eb="8">
      <t>ケイカク</t>
    </rPh>
    <rPh sb="8" eb="9">
      <t>スウ</t>
    </rPh>
    <phoneticPr fontId="1"/>
  </si>
  <si>
    <t>10分当たり計画数</t>
    <rPh sb="2" eb="3">
      <t>フン</t>
    </rPh>
    <rPh sb="3" eb="4">
      <t>ア</t>
    </rPh>
    <rPh sb="6" eb="9">
      <t>ケイカクスウ</t>
    </rPh>
    <phoneticPr fontId="1"/>
  </si>
  <si>
    <t>"-"⇨0</t>
    <phoneticPr fontId="1"/>
  </si>
  <si>
    <t>停止工程</t>
    <rPh sb="0" eb="2">
      <t>テイシ</t>
    </rPh>
    <rPh sb="2" eb="4">
      <t>コウテイ</t>
    </rPh>
    <phoneticPr fontId="1"/>
  </si>
  <si>
    <t>停止理由</t>
    <rPh sb="0" eb="2">
      <t>テイシ</t>
    </rPh>
    <rPh sb="2" eb="4">
      <t>リユウ</t>
    </rPh>
    <phoneticPr fontId="1"/>
  </si>
  <si>
    <t>停止理由詳細</t>
    <rPh sb="0" eb="4">
      <t>テイシリユウ</t>
    </rPh>
    <rPh sb="4" eb="6">
      <t>ショウサイ</t>
    </rPh>
    <phoneticPr fontId="1"/>
  </si>
  <si>
    <t>｜</t>
    <phoneticPr fontId="1"/>
  </si>
  <si>
    <t>ライン名</t>
    <rPh sb="3" eb="4">
      <t>メイ</t>
    </rPh>
    <phoneticPr fontId="1"/>
  </si>
  <si>
    <t>型番</t>
    <rPh sb="0" eb="2">
      <t>カタバン</t>
    </rPh>
    <phoneticPr fontId="1"/>
  </si>
  <si>
    <t>選択肢</t>
    <rPh sb="0" eb="3">
      <t>センタクシ</t>
    </rPh>
    <phoneticPr fontId="1"/>
  </si>
  <si>
    <t>C/T</t>
    <phoneticPr fontId="1"/>
  </si>
  <si>
    <t>C/T(秒)</t>
    <rPh sb="4" eb="5">
      <t>ビョウ</t>
    </rPh>
    <phoneticPr fontId="1"/>
  </si>
  <si>
    <t>生産開始時間</t>
    <rPh sb="0" eb="4">
      <t>セイサンカイシ</t>
    </rPh>
    <rPh sb="4" eb="6">
      <t>ジカン</t>
    </rPh>
    <phoneticPr fontId="1"/>
  </si>
  <si>
    <t>番号</t>
    <rPh sb="0" eb="2">
      <t>バンゴウ</t>
    </rPh>
    <phoneticPr fontId="1"/>
  </si>
  <si>
    <t>経過時間</t>
    <rPh sb="0" eb="4">
      <t>ケイカジカン</t>
    </rPh>
    <phoneticPr fontId="1"/>
  </si>
  <si>
    <t>時間(分)</t>
    <rPh sb="0" eb="2">
      <t>ジカン</t>
    </rPh>
    <rPh sb="3" eb="4">
      <t>フン</t>
    </rPh>
    <phoneticPr fontId="1"/>
  </si>
  <si>
    <t>計画個数</t>
    <rPh sb="0" eb="4">
      <t>ケイカクコスウ</t>
    </rPh>
    <phoneticPr fontId="1"/>
  </si>
  <si>
    <t>計画個数(累計)</t>
    <rPh sb="0" eb="2">
      <t>ケイカク</t>
    </rPh>
    <rPh sb="2" eb="4">
      <t>コスウ</t>
    </rPh>
    <rPh sb="5" eb="7">
      <t>ルイケイ</t>
    </rPh>
    <phoneticPr fontId="1"/>
  </si>
  <si>
    <t>時間</t>
    <rPh sb="0" eb="2">
      <t>ジカン</t>
    </rPh>
    <phoneticPr fontId="1"/>
  </si>
  <si>
    <t>分</t>
    <rPh sb="0" eb="1">
      <t>フン</t>
    </rPh>
    <phoneticPr fontId="1"/>
  </si>
  <si>
    <t>B-1</t>
    <phoneticPr fontId="1"/>
  </si>
  <si>
    <t>830060-7ROFSH2-T2Z</t>
  </si>
  <si>
    <t>7:00~7:59</t>
    <phoneticPr fontId="1"/>
  </si>
  <si>
    <t>SB131112SH2CS67</t>
  </si>
  <si>
    <t>8:00~9:09</t>
    <phoneticPr fontId="1"/>
  </si>
  <si>
    <t>SB1311CS93</t>
  </si>
  <si>
    <t>9:10~9:19</t>
    <phoneticPr fontId="1"/>
  </si>
  <si>
    <t>9:20~10:19</t>
    <phoneticPr fontId="1"/>
  </si>
  <si>
    <t>10:20~11:39</t>
    <phoneticPr fontId="1"/>
  </si>
  <si>
    <t>11:40~12:19</t>
    <phoneticPr fontId="1"/>
  </si>
  <si>
    <t>12:20~13:19</t>
    <phoneticPr fontId="1"/>
  </si>
  <si>
    <t>13:20~14:19</t>
    <phoneticPr fontId="1"/>
  </si>
  <si>
    <t>14:20~14:29</t>
    <phoneticPr fontId="1"/>
  </si>
  <si>
    <t>14:30~15:39</t>
    <phoneticPr fontId="1"/>
  </si>
  <si>
    <t>15:40~16:39</t>
    <phoneticPr fontId="1"/>
  </si>
  <si>
    <t>16:40~17:29</t>
    <phoneticPr fontId="1"/>
  </si>
  <si>
    <t>17:30~17:39</t>
    <phoneticPr fontId="1"/>
  </si>
  <si>
    <t>17:40~18:39</t>
    <phoneticPr fontId="1"/>
  </si>
  <si>
    <t>18:40~19:39</t>
    <phoneticPr fontId="1"/>
  </si>
  <si>
    <t>19:40~20:19</t>
    <phoneticPr fontId="1"/>
  </si>
  <si>
    <t>20:20~21:19</t>
    <phoneticPr fontId="1"/>
  </si>
  <si>
    <t>21:20~22:29</t>
    <phoneticPr fontId="1"/>
  </si>
  <si>
    <t>22:30~22:39</t>
    <phoneticPr fontId="1"/>
  </si>
  <si>
    <t>22:40~23:39</t>
    <phoneticPr fontId="1"/>
  </si>
  <si>
    <t>23:40~24:19</t>
    <phoneticPr fontId="1"/>
  </si>
  <si>
    <t>24:20~24:29</t>
    <phoneticPr fontId="1"/>
  </si>
  <si>
    <t>24:30~25:29</t>
    <phoneticPr fontId="1"/>
  </si>
  <si>
    <t>25:30~26:30</t>
    <phoneticPr fontId="1"/>
  </si>
  <si>
    <t>直</t>
    <rPh sb="0" eb="1">
      <t>チョク</t>
    </rPh>
    <phoneticPr fontId="1"/>
  </si>
  <si>
    <t>日付</t>
    <rPh sb="0" eb="2">
      <t>ヒヅケ</t>
    </rPh>
    <phoneticPr fontId="1"/>
  </si>
  <si>
    <t>ライン</t>
    <phoneticPr fontId="1"/>
  </si>
  <si>
    <t>担当者</t>
    <rPh sb="0" eb="3">
      <t>タントウシャ</t>
    </rPh>
    <phoneticPr fontId="1"/>
  </si>
  <si>
    <t>重量天秤確認</t>
    <rPh sb="0" eb="6">
      <t>ジュウリョウテンビンカクニン</t>
    </rPh>
    <phoneticPr fontId="1"/>
  </si>
  <si>
    <t>レーザー刻印確認</t>
    <rPh sb="4" eb="8">
      <t>コクインカクニン</t>
    </rPh>
    <phoneticPr fontId="1"/>
  </si>
  <si>
    <t>計測機器有効期限</t>
    <rPh sb="0" eb="4">
      <t>ケイソクキキ</t>
    </rPh>
    <rPh sb="4" eb="8">
      <t>ユウコウキゲン</t>
    </rPh>
    <phoneticPr fontId="1"/>
  </si>
  <si>
    <t>ラ イ ン  ロ グ</t>
    <phoneticPr fontId="1"/>
  </si>
  <si>
    <t>ー</t>
    <phoneticPr fontId="1"/>
  </si>
  <si>
    <r>
      <t>計画数</t>
    </r>
    <r>
      <rPr>
        <sz val="8"/>
        <color theme="0"/>
        <rFont val="Noto Sans JP"/>
        <family val="3"/>
        <charset val="128"/>
      </rPr>
      <t>(累計)</t>
    </r>
    <phoneticPr fontId="1"/>
  </si>
  <si>
    <t>シール</t>
    <phoneticPr fontId="1"/>
  </si>
  <si>
    <t>シールド</t>
    <phoneticPr fontId="1"/>
  </si>
  <si>
    <t>すきま</t>
    <phoneticPr fontId="1"/>
  </si>
  <si>
    <t>音</t>
    <rPh sb="0" eb="1">
      <t>オト</t>
    </rPh>
    <phoneticPr fontId="1"/>
  </si>
  <si>
    <t>グリス</t>
    <phoneticPr fontId="1"/>
  </si>
  <si>
    <t>レーザー</t>
    <phoneticPr fontId="1"/>
  </si>
  <si>
    <t>回転調子</t>
    <rPh sb="0" eb="4">
      <t>カイテンチョウシ</t>
    </rPh>
    <phoneticPr fontId="1"/>
  </si>
  <si>
    <t>その他</t>
    <rPh sb="2" eb="3">
      <t>タ</t>
    </rPh>
    <phoneticPr fontId="1"/>
  </si>
  <si>
    <t>切替品</t>
    <rPh sb="0" eb="2">
      <t>キリカエ</t>
    </rPh>
    <rPh sb="2" eb="3">
      <t>ヒン</t>
    </rPh>
    <phoneticPr fontId="1"/>
  </si>
  <si>
    <t>呼番</t>
    <rPh sb="0" eb="1">
      <t>ヨ</t>
    </rPh>
    <rPh sb="1" eb="2">
      <t>バン</t>
    </rPh>
    <phoneticPr fontId="1"/>
  </si>
  <si>
    <t>投入数</t>
    <rPh sb="0" eb="3">
      <t>トウニュウスウ</t>
    </rPh>
    <phoneticPr fontId="1"/>
  </si>
  <si>
    <t>シール・
シールド</t>
    <phoneticPr fontId="1"/>
  </si>
  <si>
    <t>保持器
(FY)</t>
    <rPh sb="0" eb="3">
      <t>ホジキ</t>
    </rPh>
    <phoneticPr fontId="1"/>
  </si>
  <si>
    <t>保持器
(鉄・他)</t>
    <rPh sb="0" eb="3">
      <t>ホジキ</t>
    </rPh>
    <rPh sb="5" eb="6">
      <t>テツ</t>
    </rPh>
    <rPh sb="7" eb="8">
      <t>ホカ</t>
    </rPh>
    <phoneticPr fontId="1"/>
  </si>
  <si>
    <t>保持器
かしめ</t>
    <rPh sb="0" eb="3">
      <t>ホジキ</t>
    </rPh>
    <phoneticPr fontId="1"/>
  </si>
  <si>
    <t>リベット
・ボール</t>
    <phoneticPr fontId="1"/>
  </si>
  <si>
    <t>ー生産状況ー</t>
    <rPh sb="1" eb="5">
      <t>セイサンジョウキョウ</t>
    </rPh>
    <phoneticPr fontId="1"/>
  </si>
  <si>
    <t>ー不良個数ー</t>
    <rPh sb="1" eb="3">
      <t>フリョウ</t>
    </rPh>
    <rPh sb="3" eb="5">
      <t>コスウ</t>
    </rPh>
    <phoneticPr fontId="1"/>
  </si>
  <si>
    <t>user_name</t>
    <phoneticPr fontId="1"/>
  </si>
  <si>
    <t>sent_at</t>
    <phoneticPr fontId="1"/>
  </si>
  <si>
    <t>ct_id</t>
    <phoneticPr fontId="1"/>
  </si>
  <si>
    <t>stop_id</t>
    <phoneticPr fontId="1"/>
  </si>
  <si>
    <t>stop_start_time</t>
    <phoneticPr fontId="1"/>
  </si>
  <si>
    <t>stop_end_time</t>
    <phoneticPr fontId="1"/>
  </si>
  <si>
    <t>stop_reason</t>
    <phoneticPr fontId="1"/>
  </si>
  <si>
    <t>stop_detail1</t>
    <phoneticPr fontId="1"/>
  </si>
  <si>
    <t>stop_detail2</t>
    <phoneticPr fontId="1"/>
  </si>
  <si>
    <t>stop_detail3</t>
  </si>
  <si>
    <t>user_id</t>
    <phoneticPr fontId="1"/>
  </si>
  <si>
    <t>sent_time</t>
    <phoneticPr fontId="1"/>
  </si>
  <si>
    <t>defect_id</t>
    <phoneticPr fontId="1"/>
  </si>
  <si>
    <t>defect_timing</t>
    <phoneticPr fontId="1"/>
  </si>
  <si>
    <t>defect_type</t>
    <phoneticPr fontId="1"/>
  </si>
  <si>
    <t>defect_reazson</t>
    <phoneticPr fontId="1"/>
  </si>
  <si>
    <t>defect_qty</t>
    <phoneticPr fontId="1"/>
  </si>
  <si>
    <t>product_qty</t>
    <phoneticPr fontId="1"/>
  </si>
  <si>
    <t>product_time</t>
    <phoneticPr fontId="1"/>
  </si>
  <si>
    <t>product_id</t>
    <phoneticPr fontId="1"/>
  </si>
  <si>
    <t>defect_timing_id</t>
    <phoneticPr fontId="1"/>
  </si>
  <si>
    <t>defect_type_id</t>
    <phoneticPr fontId="1"/>
  </si>
  <si>
    <t>defect_reazson_id</t>
    <phoneticPr fontId="1"/>
  </si>
  <si>
    <t>stop_reason_id</t>
    <phoneticPr fontId="1"/>
  </si>
  <si>
    <t>stop_detail1_id</t>
    <phoneticPr fontId="1"/>
  </si>
  <si>
    <t>stop_detail2_id</t>
    <phoneticPr fontId="1"/>
  </si>
  <si>
    <t>stop_detail3_id</t>
    <phoneticPr fontId="1"/>
  </si>
  <si>
    <t>ct_outer_raceway</t>
    <phoneticPr fontId="1"/>
  </si>
  <si>
    <t>ct_inner_diameter</t>
    <phoneticPr fontId="1"/>
  </si>
  <si>
    <t>ct_outer_diameter</t>
    <phoneticPr fontId="1"/>
  </si>
  <si>
    <t>ct_inner_raceway</t>
    <phoneticPr fontId="1"/>
  </si>
  <si>
    <t>ct_outer_sf</t>
    <phoneticPr fontId="1"/>
  </si>
  <si>
    <t>ct_inner_sf</t>
    <phoneticPr fontId="1"/>
  </si>
  <si>
    <t>ct_assembly</t>
    <phoneticPr fontId="1"/>
  </si>
  <si>
    <t>yobiban_id</t>
    <phoneticPr fontId="1"/>
  </si>
  <si>
    <t>yobiban_time</t>
    <phoneticPr fontId="1"/>
  </si>
  <si>
    <t>yobiban_qr</t>
    <phoneticPr fontId="1"/>
  </si>
  <si>
    <t>yobiban_number</t>
    <phoneticPr fontId="1"/>
  </si>
  <si>
    <t>yobiban_start</t>
    <phoneticPr fontId="1"/>
  </si>
  <si>
    <t>yobiban_finish</t>
    <phoneticPr fontId="1"/>
  </si>
  <si>
    <t>下田美咲</t>
    <phoneticPr fontId="1"/>
  </si>
  <si>
    <t>WP-4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</si>
</sst>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#,##0_);[Red]\(#,##0\)"/>
    <numFmt numFmtId="177" formatCode="yyyy/m/d;@"/>
    <numFmt numFmtId="178" formatCode="h:mm;@"/>
    <numFmt numFmtId="179" formatCode="0.00_ "/>
    <numFmt numFmtId="180" formatCode="#,##0_ "/>
    <numFmt numFmtId="181" formatCode="#,##0.00_ "/>
  </numFmts>
  <fonts count="10" x14ac:knownFonts="1">
    <font>
      <sz val="10"/>
      <color theme="1"/>
      <name val="Meiryo UI"/>
      <family val="2"/>
      <charset val="128"/>
    </font>
    <font>
      <sz val="6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0000"/>
      <name val="Meiryo UI"/>
      <family val="3"/>
      <charset val="128"/>
    </font>
    <font>
      <sz val="10"/>
      <color theme="1"/>
      <name val="Noto Sans JP"/>
      <family val="3"/>
      <charset val="128"/>
    </font>
    <font>
      <b/>
      <sz val="28"/>
      <color theme="0"/>
      <name val="Noto Sans JP"/>
      <family val="3"/>
      <charset val="128"/>
    </font>
    <font>
      <sz val="10"/>
      <color theme="0"/>
      <name val="Noto Sans JP"/>
      <family val="3"/>
      <charset val="128"/>
    </font>
    <font>
      <b/>
      <sz val="10"/>
      <color theme="0"/>
      <name val="Noto Sans JP"/>
      <family val="3"/>
      <charset val="128"/>
    </font>
    <font>
      <sz val="8"/>
      <color theme="0"/>
      <name val="Noto Sans JP"/>
      <family val="3"/>
      <charset val="128"/>
    </font>
    <font>
      <b/>
      <sz val="10"/>
      <color theme="1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ashDot">
        <color auto="1"/>
      </top>
      <bottom/>
      <diagonal/>
    </border>
    <border>
      <left style="medium">
        <color auto="1"/>
      </left>
      <right style="medium">
        <color auto="1"/>
      </right>
      <top style="dashDot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6">
    <xf numFmtId="0" fontId="0" fillId="0" borderId="0" xfId="0">
      <alignment vertical="center"/>
    </xf>
    <xf numFmtId="0" fontId="2" fillId="0" borderId="0" xfId="1">
      <alignment vertical="center"/>
    </xf>
    <xf numFmtId="0" fontId="2" fillId="0" borderId="0" xfId="1" applyAlignment="1">
      <alignment horizontal="left" vertical="center"/>
    </xf>
    <xf numFmtId="178" fontId="2" fillId="0" borderId="0" xfId="1" applyNumberFormat="1">
      <alignment vertical="center"/>
    </xf>
    <xf numFmtId="179" fontId="2" fillId="0" borderId="0" xfId="1" applyNumberFormat="1">
      <alignment vertical="center"/>
    </xf>
    <xf numFmtId="180" fontId="2" fillId="0" borderId="0" xfId="1" applyNumberFormat="1">
      <alignment vertical="center"/>
    </xf>
    <xf numFmtId="181" fontId="2" fillId="0" borderId="0" xfId="1" applyNumberFormat="1">
      <alignment vertical="center"/>
    </xf>
    <xf numFmtId="0" fontId="2" fillId="3" borderId="0" xfId="1" applyFill="1">
      <alignment vertical="center"/>
    </xf>
    <xf numFmtId="0" fontId="3" fillId="3" borderId="0" xfId="1" applyFont="1" applyFill="1" applyAlignment="1">
      <alignment horizontal="left" vertical="center"/>
    </xf>
    <xf numFmtId="178" fontId="2" fillId="3" borderId="0" xfId="1" applyNumberFormat="1" applyFill="1">
      <alignment vertical="center"/>
    </xf>
    <xf numFmtId="180" fontId="2" fillId="0" borderId="19" xfId="1" applyNumberFormat="1" applyBorder="1">
      <alignment vertical="center"/>
    </xf>
    <xf numFmtId="180" fontId="2" fillId="0" borderId="20" xfId="1" applyNumberFormat="1" applyBorder="1">
      <alignment vertical="center"/>
    </xf>
    <xf numFmtId="14" fontId="2" fillId="0" borderId="0" xfId="1" applyNumberFormat="1">
      <alignment vertical="center"/>
    </xf>
    <xf numFmtId="0" fontId="2" fillId="0" borderId="21" xfId="1" applyBorder="1">
      <alignment vertical="center"/>
    </xf>
    <xf numFmtId="179" fontId="2" fillId="0" borderId="21" xfId="1" applyNumberFormat="1" applyBorder="1">
      <alignment vertical="center"/>
    </xf>
    <xf numFmtId="180" fontId="2" fillId="0" borderId="22" xfId="1" applyNumberFormat="1" applyBorder="1">
      <alignment vertical="center"/>
    </xf>
    <xf numFmtId="180" fontId="2" fillId="0" borderId="23" xfId="1" applyNumberFormat="1" applyBorder="1">
      <alignment vertical="center"/>
    </xf>
    <xf numFmtId="0" fontId="4" fillId="4" borderId="0" xfId="0" applyFont="1" applyFill="1">
      <alignment vertical="center"/>
    </xf>
    <xf numFmtId="14" fontId="6" fillId="5" borderId="24" xfId="0" applyNumberFormat="1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176" fontId="6" fillId="5" borderId="24" xfId="0" applyNumberFormat="1" applyFont="1" applyFill="1" applyBorder="1" applyAlignment="1">
      <alignment horizontal="center" vertical="center"/>
    </xf>
    <xf numFmtId="14" fontId="4" fillId="0" borderId="25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176" fontId="4" fillId="0" borderId="25" xfId="0" applyNumberFormat="1" applyFont="1" applyBorder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77" fontId="7" fillId="5" borderId="3" xfId="0" applyNumberFormat="1" applyFont="1" applyFill="1" applyBorder="1">
      <alignment vertical="center"/>
    </xf>
    <xf numFmtId="177" fontId="7" fillId="5" borderId="4" xfId="0" applyNumberFormat="1" applyFont="1" applyFill="1" applyBorder="1">
      <alignment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176" fontId="8" fillId="5" borderId="5" xfId="0" applyNumberFormat="1" applyFont="1" applyFill="1" applyBorder="1" applyAlignment="1">
      <alignment horizontal="center" vertical="center"/>
    </xf>
    <xf numFmtId="176" fontId="6" fillId="5" borderId="5" xfId="0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4" borderId="7" xfId="0" applyFont="1" applyFill="1" applyBorder="1">
      <alignment vertical="center"/>
    </xf>
    <xf numFmtId="20" fontId="4" fillId="0" borderId="8" xfId="0" applyNumberFormat="1" applyFont="1" applyBorder="1">
      <alignment vertical="center"/>
    </xf>
    <xf numFmtId="0" fontId="4" fillId="0" borderId="9" xfId="0" applyFont="1" applyBorder="1">
      <alignment vertical="center"/>
    </xf>
    <xf numFmtId="14" fontId="4" fillId="0" borderId="5" xfId="0" applyNumberFormat="1" applyFont="1" applyBorder="1">
      <alignment vertical="center"/>
    </xf>
    <xf numFmtId="0" fontId="4" fillId="0" borderId="5" xfId="0" applyFont="1" applyBorder="1">
      <alignment vertical="center"/>
    </xf>
    <xf numFmtId="176" fontId="4" fillId="0" borderId="5" xfId="0" applyNumberFormat="1" applyFont="1" applyBorder="1">
      <alignment vertical="center"/>
    </xf>
    <xf numFmtId="176" fontId="4" fillId="2" borderId="5" xfId="0" applyNumberFormat="1" applyFont="1" applyFill="1" applyBorder="1" applyAlignment="1">
      <alignment horizontal="center" vertical="center"/>
    </xf>
    <xf numFmtId="0" fontId="4" fillId="0" borderId="6" xfId="0" applyFont="1" applyBorder="1">
      <alignment vertical="center"/>
    </xf>
    <xf numFmtId="20" fontId="4" fillId="0" borderId="0" xfId="0" applyNumberFormat="1" applyFont="1">
      <alignment vertical="center"/>
    </xf>
    <xf numFmtId="0" fontId="4" fillId="0" borderId="10" xfId="0" applyFont="1" applyBorder="1">
      <alignment vertical="center"/>
    </xf>
    <xf numFmtId="0" fontId="4" fillId="0" borderId="27" xfId="0" applyFont="1" applyBorder="1">
      <alignment vertical="center"/>
    </xf>
    <xf numFmtId="176" fontId="4" fillId="0" borderId="27" xfId="0" applyNumberFormat="1" applyFont="1" applyBorder="1">
      <alignment vertical="center"/>
    </xf>
    <xf numFmtId="176" fontId="4" fillId="2" borderId="27" xfId="0" applyNumberFormat="1" applyFont="1" applyFill="1" applyBorder="1" applyAlignment="1">
      <alignment horizontal="center" vertical="center"/>
    </xf>
    <xf numFmtId="0" fontId="4" fillId="0" borderId="26" xfId="0" applyFont="1" applyBorder="1">
      <alignment vertical="center"/>
    </xf>
    <xf numFmtId="20" fontId="4" fillId="0" borderId="1" xfId="0" applyNumberFormat="1" applyFont="1" applyBorder="1">
      <alignment vertical="center"/>
    </xf>
    <xf numFmtId="0" fontId="4" fillId="0" borderId="13" xfId="0" applyFont="1" applyBorder="1">
      <alignment vertical="center"/>
    </xf>
    <xf numFmtId="0" fontId="4" fillId="0" borderId="14" xfId="0" applyFont="1" applyBorder="1">
      <alignment vertical="center"/>
    </xf>
    <xf numFmtId="0" fontId="4" fillId="0" borderId="11" xfId="0" applyFont="1" applyBorder="1">
      <alignment vertical="center"/>
    </xf>
    <xf numFmtId="176" fontId="4" fillId="0" borderId="11" xfId="0" applyNumberFormat="1" applyFont="1" applyBorder="1">
      <alignment vertical="center"/>
    </xf>
    <xf numFmtId="176" fontId="4" fillId="2" borderId="14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176" fontId="4" fillId="2" borderId="11" xfId="0" applyNumberFormat="1" applyFont="1" applyFill="1" applyBorder="1" applyAlignment="1">
      <alignment horizontal="center" vertical="center"/>
    </xf>
    <xf numFmtId="0" fontId="4" fillId="0" borderId="12" xfId="0" applyFont="1" applyBorder="1">
      <alignment vertical="center"/>
    </xf>
    <xf numFmtId="0" fontId="4" fillId="0" borderId="17" xfId="0" applyFont="1" applyBorder="1">
      <alignment vertical="center"/>
    </xf>
    <xf numFmtId="0" fontId="4" fillId="0" borderId="18" xfId="0" applyFont="1" applyBorder="1">
      <alignment vertical="center"/>
    </xf>
    <xf numFmtId="20" fontId="4" fillId="6" borderId="0" xfId="0" applyNumberFormat="1" applyFont="1" applyFill="1">
      <alignment vertical="center"/>
    </xf>
    <xf numFmtId="0" fontId="9" fillId="0" borderId="10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20" fontId="4" fillId="6" borderId="8" xfId="0" applyNumberFormat="1" applyFont="1" applyFill="1" applyBorder="1">
      <alignment vertical="center"/>
    </xf>
    <xf numFmtId="0" fontId="9" fillId="0" borderId="18" xfId="0" applyFont="1" applyBorder="1" applyAlignment="1">
      <alignment horizontal="center" vertical="center"/>
    </xf>
    <xf numFmtId="20" fontId="4" fillId="6" borderId="1" xfId="0" applyNumberFormat="1" applyFont="1" applyFill="1" applyBorder="1">
      <alignment vertical="center"/>
    </xf>
    <xf numFmtId="0" fontId="9" fillId="0" borderId="13" xfId="0" applyFont="1" applyBorder="1">
      <alignment vertical="center"/>
    </xf>
    <xf numFmtId="0" fontId="9" fillId="0" borderId="10" xfId="0" applyFont="1" applyBorder="1">
      <alignment vertical="center"/>
    </xf>
    <xf numFmtId="0" fontId="4" fillId="4" borderId="16" xfId="0" applyFont="1" applyFill="1" applyBorder="1">
      <alignment vertical="center"/>
    </xf>
    <xf numFmtId="176" fontId="4" fillId="4" borderId="0" xfId="0" applyNumberFormat="1" applyFont="1" applyFill="1">
      <alignment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14" fontId="7" fillId="4" borderId="0" xfId="0" applyNumberFormat="1" applyFont="1" applyFill="1" applyAlignment="1">
      <alignment horizontal="left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14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6" fillId="5" borderId="1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 wrapText="1"/>
    </xf>
    <xf numFmtId="20" fontId="4" fillId="0" borderId="2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5" borderId="32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</cellXfs>
  <cellStyles count="2">
    <cellStyle name="標準" xfId="0" builtinId="0"/>
    <cellStyle name="標準 2" xfId="1" xr:uid="{FCC3B219-EF91-43A9-A243-9276933585D1}"/>
  </cellStyles>
  <dxfs count="0"/>
  <tableStyles count="0" defaultTableStyle="TableStyleMedium2" defaultPivotStyle="PivotStyleLight16"/>
  <colors>
    <mruColors>
      <color rgb="FFC5FBD3"/>
      <color rgb="FFF9E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635000</xdr:colOff>
      <xdr:row>24</xdr:row>
      <xdr:rowOff>31750</xdr:rowOff>
    </xdr:from>
    <xdr:to>
      <xdr:col>45</xdr:col>
      <xdr:colOff>431800</xdr:colOff>
      <xdr:row>104</xdr:row>
      <xdr:rowOff>38100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A6860F7B-D5E8-B7E0-BED3-86A7F98F5A7B}"/>
            </a:ext>
          </a:extLst>
        </xdr:cNvPr>
        <xdr:cNvGrpSpPr/>
      </xdr:nvGrpSpPr>
      <xdr:grpSpPr>
        <a:xfrm>
          <a:off x="9879965" y="5649595"/>
          <a:ext cx="9291320" cy="17410430"/>
          <a:chOff x="0" y="0"/>
          <a:chExt cx="8420100" cy="13722350"/>
        </a:xfrm>
      </xdr:grpSpPr>
      <xdr:pic>
        <xdr:nvPicPr>
          <xdr:cNvPr id="2" name="図 1">
            <a:extLst>
              <a:ext uri="{FF2B5EF4-FFF2-40B4-BE49-F238E27FC236}">
                <a16:creationId xmlns:a16="http://schemas.microsoft.com/office/drawing/2014/main" id="{5FFFDC8E-BFE8-97B3-8912-02DD71F8B9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8420100" cy="13722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57A12212-FE21-01BF-2B9E-4C519399D785}"/>
              </a:ext>
            </a:extLst>
          </xdr:cNvPr>
          <xdr:cNvSpPr txBox="1"/>
        </xdr:nvSpPr>
        <xdr:spPr>
          <a:xfrm>
            <a:off x="679450" y="527050"/>
            <a:ext cx="3365500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000">
                <a:latin typeface="Meiryo UI" panose="020B0604030504040204" pitchFamily="50" charset="-128"/>
                <a:ea typeface="Meiryo UI" panose="020B0604030504040204" pitchFamily="50" charset="-128"/>
              </a:rPr>
              <a:t>現場設置モニター表示領域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209549</xdr:rowOff>
        </xdr:from>
        <xdr:to>
          <xdr:col>31</xdr:col>
          <xdr:colOff>1123315</xdr:colOff>
          <xdr:row>84</xdr:row>
          <xdr:rowOff>21728</xdr:rowOff>
        </xdr:to>
        <xdr:pic macro="[0]!図5_Click">
          <xdr:nvPicPr>
            <xdr:cNvPr id="6" name="図 5">
              <a:extLst>
                <a:ext uri="{FF2B5EF4-FFF2-40B4-BE49-F238E27FC236}">
                  <a16:creationId xmlns:a16="http://schemas.microsoft.com/office/drawing/2014/main" id="{6ACE19F7-8D64-3555-310E-2B1468440F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I$7:$AX$17" spid="_x0000_s109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6001999"/>
              <a:ext cx="8407400" cy="191148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469900</xdr:colOff>
      <xdr:row>1</xdr:row>
      <xdr:rowOff>133350</xdr:rowOff>
    </xdr:from>
    <xdr:to>
      <xdr:col>4</xdr:col>
      <xdr:colOff>1064008</xdr:colOff>
      <xdr:row>2</xdr:row>
      <xdr:rowOff>19685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594D6269-D27E-2326-031D-795F72F965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7250" y="342900"/>
          <a:ext cx="594108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787400</xdr:colOff>
      <xdr:row>1</xdr:row>
      <xdr:rowOff>133350</xdr:rowOff>
    </xdr:from>
    <xdr:to>
      <xdr:col>30</xdr:col>
      <xdr:colOff>245875</xdr:colOff>
      <xdr:row>2</xdr:row>
      <xdr:rowOff>19685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8967B90B-6EBB-F0FF-3667-FB244C975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5772150" y="342900"/>
          <a:ext cx="59766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PB\Desktop\App\&#12521;&#12452;&#12531;&#20316;&#26989;.xlsm" TargetMode="External"/><Relationship Id="rId1" Type="http://schemas.openxmlformats.org/officeDocument/2006/relationships/externalLinkPath" Target="/Users/JPB/Desktop/App/&#12521;&#12452;&#12531;&#20316;&#269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メニュー"/>
      <sheetName val="送信済みデータ"/>
      <sheetName val="日報"/>
      <sheetName val="日報(A)"/>
      <sheetName val="日報(B)"/>
      <sheetName val="計画数(10分毎)"/>
      <sheetName val="計画数"/>
      <sheetName val="始業時チェック"/>
      <sheetName val="呼番登録"/>
      <sheetName val="CT登録"/>
      <sheetName val="生産実績"/>
      <sheetName val="ライン停止内容"/>
      <sheetName val="不良個数"/>
      <sheetName val="材料順計番号登録"/>
      <sheetName val="社員一覧"/>
    </sheetNames>
    <sheetDataSet>
      <sheetData sheetId="0"/>
      <sheetData sheetId="1"/>
      <sheetData sheetId="2"/>
      <sheetData sheetId="3">
        <row r="2">
          <cell r="B2">
            <v>45946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C7E4-381A-4003-90D0-5F284872897C}">
  <sheetPr codeName="Sheet1"/>
  <dimension ref="A2:AX75"/>
  <sheetViews>
    <sheetView showGridLines="0" tabSelected="1" topLeftCell="B3" workbookViewId="0">
      <selection activeCell="E15" sqref="E15"/>
    </sheetView>
  </sheetViews>
  <sheetFormatPr defaultColWidth="8.6328125" defaultRowHeight="17.399999999999999" x14ac:dyDescent="0.3"/>
  <cols>
    <col min="1" max="1" width="4.453125" style="17" hidden="1" customWidth="1"/>
    <col min="2" max="2" width="12.453125" style="17" customWidth="1"/>
    <col min="3" max="3" width="6.6328125" style="17" customWidth="1"/>
    <col min="4" max="4" width="2.6328125" style="17" customWidth="1"/>
    <col min="5" max="5" width="23.6328125" style="17" customWidth="1"/>
    <col min="6" max="8" width="13.6328125" style="17" hidden="1" customWidth="1"/>
    <col min="9" max="9" width="13.6328125" style="70" hidden="1" customWidth="1"/>
    <col min="10" max="12" width="13.6328125" style="17" hidden="1" customWidth="1"/>
    <col min="13" max="13" width="13.6328125" style="70" hidden="1" customWidth="1"/>
    <col min="14" max="16" width="13.6328125" style="17" hidden="1" customWidth="1"/>
    <col min="17" max="17" width="13.6328125" style="70" hidden="1" customWidth="1"/>
    <col min="18" max="20" width="13.6328125" style="17" hidden="1" customWidth="1"/>
    <col min="21" max="21" width="13.6328125" style="70" hidden="1" customWidth="1"/>
    <col min="22" max="24" width="13.6328125" style="17" hidden="1" customWidth="1"/>
    <col min="25" max="27" width="13.6328125" style="70" hidden="1" customWidth="1"/>
    <col min="28" max="28" width="10" style="70" customWidth="1"/>
    <col min="29" max="29" width="10" style="17" customWidth="1"/>
    <col min="30" max="32" width="15" style="17" customWidth="1"/>
    <col min="33" max="34" width="8.6328125" style="17" customWidth="1"/>
    <col min="35" max="35" width="20.90625" style="25" customWidth="1"/>
    <col min="36" max="50" width="7.453125" style="25" customWidth="1"/>
    <col min="51" max="16384" width="8.6328125" style="17"/>
  </cols>
  <sheetData>
    <row r="2" spans="1:50" ht="56.4" customHeight="1" x14ac:dyDescent="0.3">
      <c r="B2" s="85" t="s">
        <v>60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</row>
    <row r="3" spans="1:50" x14ac:dyDescent="0.3">
      <c r="B3" s="18" t="s">
        <v>54</v>
      </c>
      <c r="C3" s="19" t="s">
        <v>55</v>
      </c>
      <c r="D3" s="19" t="s">
        <v>53</v>
      </c>
      <c r="E3" s="19" t="s">
        <v>56</v>
      </c>
      <c r="F3" s="19"/>
      <c r="G3" s="19"/>
      <c r="H3" s="19"/>
      <c r="I3" s="20"/>
      <c r="J3" s="19"/>
      <c r="K3" s="19"/>
      <c r="L3" s="19"/>
      <c r="M3" s="20"/>
      <c r="N3" s="19"/>
      <c r="O3" s="19"/>
      <c r="P3" s="19"/>
      <c r="Q3" s="20"/>
      <c r="R3" s="19"/>
      <c r="S3" s="19"/>
      <c r="T3" s="19"/>
      <c r="U3" s="20"/>
      <c r="V3" s="19"/>
      <c r="W3" s="19"/>
      <c r="X3" s="19"/>
      <c r="Y3" s="20"/>
      <c r="Z3" s="20"/>
      <c r="AA3" s="20"/>
      <c r="AB3" s="20"/>
      <c r="AC3" s="19"/>
      <c r="AD3" s="19" t="s">
        <v>57</v>
      </c>
      <c r="AE3" s="19" t="s">
        <v>58</v>
      </c>
      <c r="AF3" s="19" t="s">
        <v>59</v>
      </c>
    </row>
    <row r="4" spans="1:50" x14ac:dyDescent="0.3">
      <c r="B4" s="21">
        <f ca="1">TODAY()</f>
        <v>46038</v>
      </c>
      <c r="C4" s="21" t="s">
        <v>122</v>
      </c>
      <c r="D4" s="22"/>
      <c r="E4" s="22" t="s">
        <v>121</v>
      </c>
      <c r="F4" s="22"/>
      <c r="G4" s="22"/>
      <c r="H4" s="22"/>
      <c r="I4" s="23"/>
      <c r="J4" s="22"/>
      <c r="K4" s="22"/>
      <c r="L4" s="22"/>
      <c r="M4" s="23"/>
      <c r="N4" s="22"/>
      <c r="O4" s="22"/>
      <c r="P4" s="22"/>
      <c r="Q4" s="23"/>
      <c r="R4" s="22"/>
      <c r="S4" s="22"/>
      <c r="T4" s="22"/>
      <c r="U4" s="23"/>
      <c r="V4" s="22"/>
      <c r="W4" s="22"/>
      <c r="X4" s="22"/>
      <c r="Y4" s="23"/>
      <c r="Z4" s="23"/>
      <c r="AA4" s="23"/>
      <c r="AB4" s="23" t="s">
        <v>61</v>
      </c>
      <c r="AC4" s="22" t="s">
        <v>61</v>
      </c>
      <c r="AD4" s="22"/>
      <c r="AE4" s="22"/>
      <c r="AF4" s="22"/>
    </row>
    <row r="5" spans="1:50" ht="7.5" customHeight="1" x14ac:dyDescent="0.3">
      <c r="B5" s="24"/>
      <c r="C5" s="24"/>
      <c r="D5" s="25"/>
      <c r="E5" s="25"/>
      <c r="F5" s="25"/>
      <c r="G5" s="25"/>
      <c r="H5" s="25"/>
      <c r="I5" s="26"/>
      <c r="J5" s="25"/>
      <c r="K5" s="25"/>
      <c r="L5" s="25"/>
      <c r="M5" s="26"/>
      <c r="N5" s="25"/>
      <c r="O5" s="25"/>
      <c r="P5" s="25"/>
      <c r="Q5" s="26"/>
      <c r="R5" s="25"/>
      <c r="S5" s="25"/>
      <c r="T5" s="25"/>
      <c r="U5" s="26"/>
      <c r="V5" s="25"/>
      <c r="W5" s="25"/>
      <c r="X5" s="25"/>
      <c r="Y5" s="26"/>
      <c r="Z5" s="26"/>
      <c r="AA5" s="26"/>
      <c r="AB5" s="26"/>
      <c r="AC5" s="25"/>
      <c r="AD5" s="25"/>
      <c r="AE5" s="25"/>
      <c r="AF5" s="25"/>
    </row>
    <row r="6" spans="1:50" ht="17.100000000000001" customHeight="1" x14ac:dyDescent="0.3">
      <c r="B6" s="74" t="s">
        <v>79</v>
      </c>
      <c r="C6" s="24"/>
      <c r="D6" s="25"/>
      <c r="E6" s="25"/>
      <c r="F6" s="25"/>
      <c r="G6" s="25"/>
      <c r="H6" s="25"/>
      <c r="I6" s="26"/>
      <c r="J6" s="25"/>
      <c r="K6" s="25"/>
      <c r="L6" s="25"/>
      <c r="M6" s="26"/>
      <c r="N6" s="25"/>
      <c r="O6" s="25"/>
      <c r="P6" s="25"/>
      <c r="Q6" s="26"/>
      <c r="R6" s="25"/>
      <c r="S6" s="25"/>
      <c r="T6" s="25"/>
      <c r="U6" s="26"/>
      <c r="V6" s="25"/>
      <c r="W6" s="25"/>
      <c r="X6" s="25"/>
      <c r="Y6" s="26"/>
      <c r="Z6" s="26"/>
      <c r="AA6" s="26"/>
      <c r="AB6" s="26"/>
      <c r="AC6" s="25"/>
      <c r="AD6" s="25"/>
      <c r="AE6" s="25"/>
      <c r="AF6" s="25"/>
    </row>
    <row r="7" spans="1:50" x14ac:dyDescent="0.3">
      <c r="A7" s="27"/>
      <c r="B7" s="28">
        <f ca="1">TODAY()</f>
        <v>46038</v>
      </c>
      <c r="C7" s="29"/>
      <c r="D7" s="30"/>
      <c r="E7" s="31" t="s">
        <v>1</v>
      </c>
      <c r="F7" s="32" t="s">
        <v>2</v>
      </c>
      <c r="G7" s="32" t="s">
        <v>3</v>
      </c>
      <c r="H7" s="32" t="s">
        <v>4</v>
      </c>
      <c r="I7" s="33" t="s">
        <v>5</v>
      </c>
      <c r="J7" s="32" t="s">
        <v>2</v>
      </c>
      <c r="K7" s="32" t="s">
        <v>3</v>
      </c>
      <c r="L7" s="32" t="s">
        <v>4</v>
      </c>
      <c r="M7" s="33" t="s">
        <v>5</v>
      </c>
      <c r="N7" s="32" t="s">
        <v>2</v>
      </c>
      <c r="O7" s="32" t="s">
        <v>3</v>
      </c>
      <c r="P7" s="32" t="s">
        <v>4</v>
      </c>
      <c r="Q7" s="33" t="s">
        <v>5</v>
      </c>
      <c r="R7" s="32" t="s">
        <v>2</v>
      </c>
      <c r="S7" s="32" t="s">
        <v>3</v>
      </c>
      <c r="T7" s="32" t="s">
        <v>4</v>
      </c>
      <c r="U7" s="33" t="s">
        <v>5</v>
      </c>
      <c r="V7" s="32" t="s">
        <v>2</v>
      </c>
      <c r="W7" s="32" t="s">
        <v>3</v>
      </c>
      <c r="X7" s="32" t="s">
        <v>4</v>
      </c>
      <c r="Y7" s="33" t="s">
        <v>5</v>
      </c>
      <c r="Z7" s="33" t="s">
        <v>6</v>
      </c>
      <c r="AA7" s="33" t="s">
        <v>7</v>
      </c>
      <c r="AB7" s="34" t="s">
        <v>62</v>
      </c>
      <c r="AC7" s="31" t="s">
        <v>0</v>
      </c>
      <c r="AD7" s="31" t="s">
        <v>8</v>
      </c>
      <c r="AE7" s="31" t="s">
        <v>9</v>
      </c>
      <c r="AF7" s="35" t="s">
        <v>10</v>
      </c>
      <c r="AI7" s="83" t="s">
        <v>72</v>
      </c>
      <c r="AJ7" s="75" t="s">
        <v>73</v>
      </c>
      <c r="AK7" s="79" t="s">
        <v>75</v>
      </c>
      <c r="AL7" s="79" t="s">
        <v>76</v>
      </c>
      <c r="AM7" s="75" t="s">
        <v>63</v>
      </c>
      <c r="AN7" s="75" t="s">
        <v>64</v>
      </c>
      <c r="AO7" s="75" t="s">
        <v>65</v>
      </c>
      <c r="AP7" s="75" t="s">
        <v>66</v>
      </c>
      <c r="AQ7" s="79" t="s">
        <v>77</v>
      </c>
      <c r="AR7" s="79" t="s">
        <v>78</v>
      </c>
      <c r="AS7" s="75" t="s">
        <v>67</v>
      </c>
      <c r="AT7" s="79" t="s">
        <v>74</v>
      </c>
      <c r="AU7" s="75" t="s">
        <v>68</v>
      </c>
      <c r="AV7" s="75" t="s">
        <v>69</v>
      </c>
      <c r="AW7" s="75" t="s">
        <v>70</v>
      </c>
      <c r="AX7" s="77" t="s">
        <v>71</v>
      </c>
    </row>
    <row r="8" spans="1:50" x14ac:dyDescent="0.3">
      <c r="A8" s="36">
        <v>1</v>
      </c>
      <c r="B8" s="80">
        <v>0.29166666666666669</v>
      </c>
      <c r="C8" s="37">
        <v>0.29166666666666669</v>
      </c>
      <c r="D8" s="38"/>
      <c r="E8" s="39"/>
      <c r="F8" s="40">
        <f>IF('計画数(10分毎)'!$M$2=A8,'計画数(10分毎)'!$P$2,0)</f>
        <v>0</v>
      </c>
      <c r="G8" s="40" t="str">
        <f>IF(F8&gt;0,F8,"-")</f>
        <v>-</v>
      </c>
      <c r="H8" s="40" t="str">
        <f>IF(G8=0,10,IF(G8&gt;0,G8))</f>
        <v>-</v>
      </c>
      <c r="I8" s="41" t="str">
        <f>IF(H8&lt;&gt;"-",H8*60/'計画数(10分毎)'!$I$2*80%,"-")</f>
        <v>-</v>
      </c>
      <c r="J8" s="40">
        <f>IF('計画数(10分毎)'!$M$3=A8,'計画数(10分毎)'!$P$3,0)</f>
        <v>0</v>
      </c>
      <c r="K8" s="40" t="str">
        <f>IF(J8&gt;0,J8,"-")</f>
        <v>-</v>
      </c>
      <c r="L8" s="40" t="str">
        <f>IF(K8=0,10,IF(K8&gt;0,K8))</f>
        <v>-</v>
      </c>
      <c r="M8" s="41" t="str">
        <f>IF(L8&lt;&gt;"-",L8*60/'計画数(10分毎)'!$I$3*80%,"-")</f>
        <v>-</v>
      </c>
      <c r="N8" s="40">
        <f>IF('計画数(10分毎)'!$M$4=A8,'計画数(10分毎)'!$P$4,0)</f>
        <v>0</v>
      </c>
      <c r="O8" s="40" t="str">
        <f>IF(N8&gt;0,N8,"-")</f>
        <v>-</v>
      </c>
      <c r="P8" s="40" t="str">
        <f>IF(O8=0,10,IF(O8&gt;0,O8))</f>
        <v>-</v>
      </c>
      <c r="Q8" s="41" t="str">
        <f>IF(P8&lt;&gt;"-",P8*60/'計画数(10分毎)'!$I$4*80%,"-")</f>
        <v>-</v>
      </c>
      <c r="R8" s="40">
        <f>IF('計画数(10分毎)'!$M$5=A8,'計画数(10分毎)'!$P$5,0)</f>
        <v>0</v>
      </c>
      <c r="S8" s="40" t="str">
        <f>IF(R8&gt;0,R8,"-")</f>
        <v>-</v>
      </c>
      <c r="T8" s="40" t="str">
        <f>IF(S8=0,10,IF(S8&gt;0,S8))</f>
        <v>-</v>
      </c>
      <c r="U8" s="41" t="str">
        <f>IF(T8&lt;&gt;"-",T8*60/'計画数(10分毎)'!$I$5*80%,"-")</f>
        <v>-</v>
      </c>
      <c r="V8" s="40">
        <f>IF('計画数(10分毎)'!$M$6=A8,'計画数(10分毎)'!$P$6,0)</f>
        <v>0</v>
      </c>
      <c r="W8" s="40" t="str">
        <f>IF(V8&gt;0,V8,"-")</f>
        <v>-</v>
      </c>
      <c r="X8" s="40" t="str">
        <f>IF(W8=0,10,IF(W8&gt;0,W8))</f>
        <v>-</v>
      </c>
      <c r="Y8" s="41" t="str">
        <f>IF(X8&lt;&gt;"-",X8*60/'計画数(10分毎)'!$I$6*80%,"-")</f>
        <v>-</v>
      </c>
      <c r="Z8" s="41" t="str">
        <f>IF(Y8&lt;&gt;"-",Y8,IF(U8&lt;&gt;"-",U8,IF(Q8&lt;&gt;"-",Q8,IF(M8&lt;&gt;"-",M8,I8))))</f>
        <v>-</v>
      </c>
      <c r="AA8" s="41">
        <f>IF(Z8="-",0,Z8)</f>
        <v>0</v>
      </c>
      <c r="AB8" s="42"/>
      <c r="AC8" s="40"/>
      <c r="AD8" s="40"/>
      <c r="AE8" s="40"/>
      <c r="AF8" s="43"/>
      <c r="AI8" s="84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  <c r="AX8" s="78"/>
    </row>
    <row r="9" spans="1:50" x14ac:dyDescent="0.3">
      <c r="A9" s="36">
        <v>2</v>
      </c>
      <c r="B9" s="81"/>
      <c r="C9" s="44">
        <v>0.2986111111111111</v>
      </c>
      <c r="D9" s="45"/>
      <c r="E9" s="46"/>
      <c r="F9" s="46">
        <f>IF('計画数(10分毎)'!$M$2=A9,'計画数(10分毎)'!$P$2,0)</f>
        <v>0</v>
      </c>
      <c r="G9" s="46" t="str">
        <f>IF(OR(F9&gt;0,G8&lt;&gt;"-"),F9,"-")</f>
        <v>-</v>
      </c>
      <c r="H9" s="46" t="str">
        <f t="shared" ref="H9:H16" si="0">IF(G9=0,10,IF(G9&gt;0,G9))</f>
        <v>-</v>
      </c>
      <c r="I9" s="47" t="str">
        <f>IF(H9&lt;&gt;"-",H9*60/'計画数(10分毎)'!$I$2*80%,"-")</f>
        <v>-</v>
      </c>
      <c r="J9" s="46">
        <f>IF('計画数(10分毎)'!$M$3=A9,'計画数(10分毎)'!$P$3,0)</f>
        <v>0</v>
      </c>
      <c r="K9" s="46" t="str">
        <f>IF(OR(J9&gt;0,K8&lt;&gt;"-"),J9,"-")</f>
        <v>-</v>
      </c>
      <c r="L9" s="46" t="str">
        <f t="shared" ref="L9:L16" si="1">IF(K9=0,10,IF(K9&gt;0,K9))</f>
        <v>-</v>
      </c>
      <c r="M9" s="47" t="str">
        <f>IF(L9&lt;&gt;"-",L9*60/'計画数(10分毎)'!$I$3*80%,"-")</f>
        <v>-</v>
      </c>
      <c r="N9" s="46">
        <f>IF('計画数(10分毎)'!$M$4=A9,'計画数(10分毎)'!$P$4,0)</f>
        <v>0</v>
      </c>
      <c r="O9" s="46" t="str">
        <f>IF(OR(N9&gt;0,O8&lt;&gt;"-"),N9,"-")</f>
        <v>-</v>
      </c>
      <c r="P9" s="46" t="str">
        <f t="shared" ref="P9:P16" si="2">IF(O9=0,10,IF(O9&gt;0,O9))</f>
        <v>-</v>
      </c>
      <c r="Q9" s="47" t="str">
        <f>IF(P9&lt;&gt;"-",P9*60/'計画数(10分毎)'!$I$4*80%,"-")</f>
        <v>-</v>
      </c>
      <c r="R9" s="46">
        <f>IF('計画数(10分毎)'!$M$5=A9,'計画数(10分毎)'!$P$5,0)</f>
        <v>0</v>
      </c>
      <c r="S9" s="46" t="str">
        <f>IF(OR(R9&gt;0,S8&lt;&gt;"-"),R9,"-")</f>
        <v>-</v>
      </c>
      <c r="T9" s="46" t="str">
        <f t="shared" ref="T9:T16" si="3">IF(S9=0,10,IF(S9&gt;0,S9))</f>
        <v>-</v>
      </c>
      <c r="U9" s="47" t="str">
        <f>IF(T9&lt;&gt;"-",T9*60/'計画数(10分毎)'!$I$5*80%,"-")</f>
        <v>-</v>
      </c>
      <c r="V9" s="46">
        <f>IF('計画数(10分毎)'!$M$6=A9,'計画数(10分毎)'!$P$6,0)</f>
        <v>0</v>
      </c>
      <c r="W9" s="46" t="str">
        <f>IF(OR(V9&gt;0,W8&lt;&gt;"-"),V9,"-")</f>
        <v>-</v>
      </c>
      <c r="X9" s="46" t="str">
        <f t="shared" ref="X9:X16" si="4">IF(W9=0,10,IF(W9&gt;0,W9))</f>
        <v>-</v>
      </c>
      <c r="Y9" s="47" t="str">
        <f>IF(X9&lt;&gt;"-",X9*60/'計画数(10分毎)'!$I$6*80%,"-")</f>
        <v>-</v>
      </c>
      <c r="Z9" s="47" t="str">
        <f t="shared" ref="Z9:Z16" si="5">IF(Y9&lt;&gt;"-",Y9,IF(U9&lt;&gt;"-",U9,IF(Q9&lt;&gt;"-",Q9,IF(M9&lt;&gt;"-",M9,I9))))</f>
        <v>-</v>
      </c>
      <c r="AA9" s="47">
        <f t="shared" ref="AA9:AA16" si="6">IF(Z9="-",0,Z9)</f>
        <v>0</v>
      </c>
      <c r="AB9" s="48"/>
      <c r="AC9" s="46"/>
      <c r="AD9" s="46"/>
      <c r="AE9" s="46"/>
      <c r="AF9" s="49"/>
      <c r="AI9" s="71"/>
      <c r="AJ9" s="72"/>
      <c r="AK9" s="72"/>
      <c r="AL9" s="72"/>
      <c r="AM9" s="72"/>
      <c r="AN9" s="72"/>
      <c r="AO9" s="72"/>
      <c r="AP9" s="72"/>
      <c r="AQ9" s="72"/>
      <c r="AR9" s="72"/>
      <c r="AS9" s="72"/>
      <c r="AT9" s="72"/>
      <c r="AU9" s="72"/>
      <c r="AV9" s="72"/>
      <c r="AW9" s="72"/>
      <c r="AX9" s="73"/>
    </row>
    <row r="10" spans="1:50" x14ac:dyDescent="0.3">
      <c r="A10" s="36">
        <v>3</v>
      </c>
      <c r="B10" s="81"/>
      <c r="C10" s="50">
        <v>0.30555555555555552</v>
      </c>
      <c r="D10" s="51"/>
      <c r="E10" s="52"/>
      <c r="F10" s="53">
        <f>IF('計画数(10分毎)'!$M$2=A10,'計画数(10分毎)'!$P$2,0)</f>
        <v>0</v>
      </c>
      <c r="G10" s="53" t="str">
        <f t="shared" ref="G10:G16" si="7">IF(OR(F10&gt;0,G9&lt;&gt;"-"),F10,"-")</f>
        <v>-</v>
      </c>
      <c r="H10" s="53" t="str">
        <f t="shared" si="0"/>
        <v>-</v>
      </c>
      <c r="I10" s="54" t="str">
        <f>IF(H10&lt;&gt;"-",H10*60/'計画数(10分毎)'!$I$2*80%,"-")</f>
        <v>-</v>
      </c>
      <c r="J10" s="53">
        <f>IF('計画数(10分毎)'!$M$3=A10,'計画数(10分毎)'!$P$3,0)</f>
        <v>0</v>
      </c>
      <c r="K10" s="53" t="str">
        <f t="shared" ref="K10:K16" si="8">IF(OR(J10&gt;0,K9&lt;&gt;"-"),J10,"-")</f>
        <v>-</v>
      </c>
      <c r="L10" s="53" t="str">
        <f t="shared" si="1"/>
        <v>-</v>
      </c>
      <c r="M10" s="54" t="str">
        <f>IF(L10&lt;&gt;"-",L10*60/'計画数(10分毎)'!$I$3*80%,"-")</f>
        <v>-</v>
      </c>
      <c r="N10" s="53">
        <f>IF('計画数(10分毎)'!$M$4=A10,'計画数(10分毎)'!$P$4,0)</f>
        <v>0</v>
      </c>
      <c r="O10" s="53" t="str">
        <f t="shared" ref="O10:O16" si="9">IF(OR(N10&gt;0,O9&lt;&gt;"-"),N10,"-")</f>
        <v>-</v>
      </c>
      <c r="P10" s="53" t="str">
        <f t="shared" si="2"/>
        <v>-</v>
      </c>
      <c r="Q10" s="54" t="str">
        <f>IF(P10&lt;&gt;"-",P10*60/'計画数(10分毎)'!$I$4*80%,"-")</f>
        <v>-</v>
      </c>
      <c r="R10" s="53">
        <f>IF('計画数(10分毎)'!$M$5=A10,'計画数(10分毎)'!$P$5,0)</f>
        <v>0</v>
      </c>
      <c r="S10" s="53" t="str">
        <f t="shared" ref="S10:S16" si="10">IF(OR(R10&gt;0,S9&lt;&gt;"-"),R10,"-")</f>
        <v>-</v>
      </c>
      <c r="T10" s="53" t="str">
        <f t="shared" si="3"/>
        <v>-</v>
      </c>
      <c r="U10" s="54" t="str">
        <f>IF(T10&lt;&gt;"-",T10*60/'計画数(10分毎)'!$I$5*80%,"-")</f>
        <v>-</v>
      </c>
      <c r="V10" s="53">
        <f>IF('計画数(10分毎)'!$M$6=A10,'計画数(10分毎)'!$P$6,0)</f>
        <v>0</v>
      </c>
      <c r="W10" s="53" t="str">
        <f t="shared" ref="W10:W16" si="11">IF(OR(V10&gt;0,W9&lt;&gt;"-"),V10,"-")</f>
        <v>-</v>
      </c>
      <c r="X10" s="53" t="str">
        <f t="shared" si="4"/>
        <v>-</v>
      </c>
      <c r="Y10" s="54" t="str">
        <f>IF(X10&lt;&gt;"-",X10*60/'計画数(10分毎)'!$I$6*80%,"-")</f>
        <v>-</v>
      </c>
      <c r="Z10" s="54" t="str">
        <f t="shared" si="5"/>
        <v>-</v>
      </c>
      <c r="AA10" s="54">
        <f t="shared" si="6"/>
        <v>0</v>
      </c>
      <c r="AB10" s="55"/>
      <c r="AC10" s="52"/>
      <c r="AD10" s="52"/>
      <c r="AE10" s="52"/>
      <c r="AF10" s="56"/>
      <c r="AI10" s="71"/>
      <c r="AJ10" s="72"/>
      <c r="AK10" s="72"/>
      <c r="AL10" s="72"/>
      <c r="AM10" s="72"/>
      <c r="AN10" s="72"/>
      <c r="AO10" s="72"/>
      <c r="AP10" s="72"/>
      <c r="AQ10" s="72"/>
      <c r="AR10" s="72"/>
      <c r="AS10" s="72"/>
      <c r="AT10" s="72"/>
      <c r="AU10" s="72"/>
      <c r="AV10" s="72"/>
      <c r="AW10" s="72"/>
      <c r="AX10" s="73"/>
    </row>
    <row r="11" spans="1:50" x14ac:dyDescent="0.3">
      <c r="A11" s="36">
        <v>4</v>
      </c>
      <c r="B11" s="81"/>
      <c r="C11" s="44">
        <v>0.3125</v>
      </c>
      <c r="D11" s="38"/>
      <c r="E11" s="53"/>
      <c r="F11" s="40">
        <f>IF('計画数(10分毎)'!$M$2=A11,'計画数(10分毎)'!$P$2,0)</f>
        <v>0</v>
      </c>
      <c r="G11" s="40" t="str">
        <f t="shared" si="7"/>
        <v>-</v>
      </c>
      <c r="H11" s="40" t="str">
        <f t="shared" si="0"/>
        <v>-</v>
      </c>
      <c r="I11" s="41" t="str">
        <f>IF(H11&lt;&gt;"-",H11*60/'計画数(10分毎)'!$I$2*80%,"-")</f>
        <v>-</v>
      </c>
      <c r="J11" s="40">
        <f>IF('計画数(10分毎)'!$M$3=A11,'計画数(10分毎)'!$P$3,0)</f>
        <v>0</v>
      </c>
      <c r="K11" s="40" t="str">
        <f t="shared" si="8"/>
        <v>-</v>
      </c>
      <c r="L11" s="40" t="str">
        <f t="shared" si="1"/>
        <v>-</v>
      </c>
      <c r="M11" s="41" t="str">
        <f>IF(L11&lt;&gt;"-",L11*60/'計画数(10分毎)'!$I$3*80%,"-")</f>
        <v>-</v>
      </c>
      <c r="N11" s="40">
        <f>IF('計画数(10分毎)'!$M$4=A11,'計画数(10分毎)'!$P$4,0)</f>
        <v>0</v>
      </c>
      <c r="O11" s="40" t="str">
        <f t="shared" si="9"/>
        <v>-</v>
      </c>
      <c r="P11" s="40" t="str">
        <f t="shared" si="2"/>
        <v>-</v>
      </c>
      <c r="Q11" s="41" t="str">
        <f>IF(P11&lt;&gt;"-",P11*60/'計画数(10分毎)'!$I$4*80%,"-")</f>
        <v>-</v>
      </c>
      <c r="R11" s="40">
        <f>IF('計画数(10分毎)'!$M$5=A11,'計画数(10分毎)'!$P$5,0)</f>
        <v>0</v>
      </c>
      <c r="S11" s="40" t="str">
        <f t="shared" si="10"/>
        <v>-</v>
      </c>
      <c r="T11" s="40" t="str">
        <f t="shared" si="3"/>
        <v>-</v>
      </c>
      <c r="U11" s="41" t="str">
        <f>IF(T11&lt;&gt;"-",T11*60/'計画数(10分毎)'!$I$5*80%,"-")</f>
        <v>-</v>
      </c>
      <c r="V11" s="40">
        <f>IF('計画数(10分毎)'!$M$6=A11,'計画数(10分毎)'!$P$6,0)</f>
        <v>0</v>
      </c>
      <c r="W11" s="40" t="str">
        <f t="shared" si="11"/>
        <v>-</v>
      </c>
      <c r="X11" s="40" t="str">
        <f t="shared" si="4"/>
        <v>-</v>
      </c>
      <c r="Y11" s="41" t="str">
        <f>IF(X11&lt;&gt;"-",X11*60/'計画数(10分毎)'!$I$6*80%,"-")</f>
        <v>-</v>
      </c>
      <c r="Z11" s="41" t="str">
        <f t="shared" si="5"/>
        <v>-</v>
      </c>
      <c r="AA11" s="41">
        <f t="shared" si="6"/>
        <v>0</v>
      </c>
      <c r="AB11" s="57"/>
      <c r="AC11" s="53"/>
      <c r="AD11" s="53"/>
      <c r="AE11" s="53"/>
      <c r="AF11" s="58"/>
      <c r="AI11" s="71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3"/>
    </row>
    <row r="12" spans="1:50" x14ac:dyDescent="0.3">
      <c r="A12" s="36">
        <v>5</v>
      </c>
      <c r="B12" s="81"/>
      <c r="C12" s="44">
        <v>0.31944444444444448</v>
      </c>
      <c r="D12" s="45"/>
      <c r="E12" s="46"/>
      <c r="F12" s="46">
        <f>IF('計画数(10分毎)'!$M$2=A12,'計画数(10分毎)'!$P$2,0)</f>
        <v>0</v>
      </c>
      <c r="G12" s="46" t="str">
        <f t="shared" si="7"/>
        <v>-</v>
      </c>
      <c r="H12" s="46" t="str">
        <f t="shared" si="0"/>
        <v>-</v>
      </c>
      <c r="I12" s="47" t="str">
        <f>IF(H12&lt;&gt;"-",H12*60/'計画数(10分毎)'!$I$2*80%,"-")</f>
        <v>-</v>
      </c>
      <c r="J12" s="46">
        <f>IF('計画数(10分毎)'!$M$3=A12,'計画数(10分毎)'!$P$3,0)</f>
        <v>0</v>
      </c>
      <c r="K12" s="46" t="str">
        <f t="shared" si="8"/>
        <v>-</v>
      </c>
      <c r="L12" s="46" t="str">
        <f t="shared" si="1"/>
        <v>-</v>
      </c>
      <c r="M12" s="47" t="str">
        <f>IF(L12&lt;&gt;"-",L12*60/'計画数(10分毎)'!$I$3*80%,"-")</f>
        <v>-</v>
      </c>
      <c r="N12" s="46">
        <f>IF('計画数(10分毎)'!$M$4=A12,'計画数(10分毎)'!$P$4,0)</f>
        <v>0</v>
      </c>
      <c r="O12" s="46" t="str">
        <f t="shared" si="9"/>
        <v>-</v>
      </c>
      <c r="P12" s="46" t="str">
        <f t="shared" si="2"/>
        <v>-</v>
      </c>
      <c r="Q12" s="47" t="str">
        <f>IF(P12&lt;&gt;"-",P12*60/'計画数(10分毎)'!$I$4*80%,"-")</f>
        <v>-</v>
      </c>
      <c r="R12" s="46">
        <f>IF('計画数(10分毎)'!$M$5=A12,'計画数(10分毎)'!$P$5,0)</f>
        <v>0</v>
      </c>
      <c r="S12" s="46" t="str">
        <f t="shared" si="10"/>
        <v>-</v>
      </c>
      <c r="T12" s="46" t="str">
        <f t="shared" si="3"/>
        <v>-</v>
      </c>
      <c r="U12" s="47" t="str">
        <f>IF(T12&lt;&gt;"-",T12*60/'計画数(10分毎)'!$I$5*80%,"-")</f>
        <v>-</v>
      </c>
      <c r="V12" s="46">
        <f>IF('計画数(10分毎)'!$M$6=A12,'計画数(10分毎)'!$P$6,0)</f>
        <v>0</v>
      </c>
      <c r="W12" s="46" t="str">
        <f t="shared" si="11"/>
        <v>-</v>
      </c>
      <c r="X12" s="46" t="str">
        <f t="shared" si="4"/>
        <v>-</v>
      </c>
      <c r="Y12" s="47" t="str">
        <f>IF(X12&lt;&gt;"-",X12*60/'計画数(10分毎)'!$I$6*80%,"-")</f>
        <v>-</v>
      </c>
      <c r="Z12" s="47" t="str">
        <f t="shared" si="5"/>
        <v>-</v>
      </c>
      <c r="AA12" s="47">
        <f t="shared" si="6"/>
        <v>0</v>
      </c>
      <c r="AB12" s="48"/>
      <c r="AC12" s="46"/>
      <c r="AD12" s="46"/>
      <c r="AE12" s="46"/>
      <c r="AF12" s="49"/>
      <c r="AI12" s="71"/>
      <c r="AJ12" s="72"/>
      <c r="AK12" s="72"/>
      <c r="AL12" s="72"/>
      <c r="AM12" s="72"/>
      <c r="AN12" s="72"/>
      <c r="AO12" s="72"/>
      <c r="AP12" s="72"/>
      <c r="AQ12" s="72"/>
      <c r="AR12" s="72"/>
      <c r="AS12" s="72"/>
      <c r="AT12" s="72"/>
      <c r="AU12" s="72"/>
      <c r="AV12" s="72"/>
      <c r="AW12" s="72"/>
      <c r="AX12" s="73"/>
    </row>
    <row r="13" spans="1:50" x14ac:dyDescent="0.3">
      <c r="A13" s="36">
        <v>6</v>
      </c>
      <c r="B13" s="82"/>
      <c r="C13" s="44">
        <v>0.3263888888888889</v>
      </c>
      <c r="D13" s="59"/>
      <c r="E13" s="53"/>
      <c r="F13" s="53">
        <f>IF('計画数(10分毎)'!$M$2=A13,'計画数(10分毎)'!$P$2,0)</f>
        <v>0</v>
      </c>
      <c r="G13" s="53" t="str">
        <f t="shared" si="7"/>
        <v>-</v>
      </c>
      <c r="H13" s="53" t="str">
        <f t="shared" si="0"/>
        <v>-</v>
      </c>
      <c r="I13" s="54" t="str">
        <f>IF(H13&lt;&gt;"-",H13*60/'計画数(10分毎)'!$I$2*80%,"-")</f>
        <v>-</v>
      </c>
      <c r="J13" s="53">
        <f>IF('計画数(10分毎)'!$M$3=A13,'計画数(10分毎)'!$P$3,0)</f>
        <v>0</v>
      </c>
      <c r="K13" s="53" t="str">
        <f t="shared" si="8"/>
        <v>-</v>
      </c>
      <c r="L13" s="53" t="str">
        <f t="shared" si="1"/>
        <v>-</v>
      </c>
      <c r="M13" s="54" t="str">
        <f>IF(L13&lt;&gt;"-",L13*60/'計画数(10分毎)'!$I$3*80%,"-")</f>
        <v>-</v>
      </c>
      <c r="N13" s="53">
        <f>IF('計画数(10分毎)'!$M$4=A13,'計画数(10分毎)'!$P$4,0)</f>
        <v>0</v>
      </c>
      <c r="O13" s="53" t="str">
        <f t="shared" si="9"/>
        <v>-</v>
      </c>
      <c r="P13" s="53" t="str">
        <f t="shared" si="2"/>
        <v>-</v>
      </c>
      <c r="Q13" s="54" t="str">
        <f>IF(P13&lt;&gt;"-",P13*60/'計画数(10分毎)'!$I$4*80%,"-")</f>
        <v>-</v>
      </c>
      <c r="R13" s="53">
        <f>IF('計画数(10分毎)'!$M$5=A13,'計画数(10分毎)'!$P$5,0)</f>
        <v>0</v>
      </c>
      <c r="S13" s="53" t="str">
        <f t="shared" si="10"/>
        <v>-</v>
      </c>
      <c r="T13" s="53" t="str">
        <f t="shared" si="3"/>
        <v>-</v>
      </c>
      <c r="U13" s="54" t="str">
        <f>IF(T13&lt;&gt;"-",T13*60/'計画数(10分毎)'!$I$5*80%,"-")</f>
        <v>-</v>
      </c>
      <c r="V13" s="53">
        <f>IF('計画数(10分毎)'!$M$6=A13,'計画数(10分毎)'!$P$6,0)</f>
        <v>0</v>
      </c>
      <c r="W13" s="53" t="str">
        <f t="shared" si="11"/>
        <v>-</v>
      </c>
      <c r="X13" s="53" t="str">
        <f t="shared" si="4"/>
        <v>-</v>
      </c>
      <c r="Y13" s="54" t="str">
        <f>IF(X13&lt;&gt;"-",X13*60/'計画数(10分毎)'!$I$6*80%,"-")</f>
        <v>-</v>
      </c>
      <c r="Z13" s="54" t="str">
        <f t="shared" si="5"/>
        <v>-</v>
      </c>
      <c r="AA13" s="54">
        <f t="shared" si="6"/>
        <v>0</v>
      </c>
      <c r="AB13" s="57"/>
      <c r="AC13" s="53"/>
      <c r="AD13" s="53"/>
      <c r="AE13" s="53"/>
      <c r="AF13" s="58"/>
      <c r="AI13" s="71"/>
      <c r="AJ13" s="72"/>
      <c r="AK13" s="72"/>
      <c r="AL13" s="72"/>
      <c r="AM13" s="72"/>
      <c r="AN13" s="72"/>
      <c r="AO13" s="72"/>
      <c r="AP13" s="72"/>
      <c r="AQ13" s="72"/>
      <c r="AR13" s="72"/>
      <c r="AS13" s="72"/>
      <c r="AT13" s="72"/>
      <c r="AU13" s="72"/>
      <c r="AV13" s="72"/>
      <c r="AW13" s="72"/>
      <c r="AX13" s="73"/>
    </row>
    <row r="14" spans="1:50" x14ac:dyDescent="0.3">
      <c r="A14" s="36">
        <v>7</v>
      </c>
      <c r="B14" s="80">
        <v>0.33333333333333298</v>
      </c>
      <c r="C14" s="37">
        <v>0.33333333333333331</v>
      </c>
      <c r="D14" s="60"/>
      <c r="E14" s="40"/>
      <c r="F14" s="40">
        <f>IF('計画数(10分毎)'!$M$2=A14,'計画数(10分毎)'!$P$2,0)</f>
        <v>0</v>
      </c>
      <c r="G14" s="40" t="str">
        <f t="shared" si="7"/>
        <v>-</v>
      </c>
      <c r="H14" s="40" t="str">
        <f t="shared" si="0"/>
        <v>-</v>
      </c>
      <c r="I14" s="41" t="str">
        <f>IF(H14&lt;&gt;"-",H14*60/'計画数(10分毎)'!$I$2*80%,"-")</f>
        <v>-</v>
      </c>
      <c r="J14" s="40">
        <f>IF('計画数(10分毎)'!$M$3=A14,'計画数(10分毎)'!$P$3,0)</f>
        <v>0</v>
      </c>
      <c r="K14" s="40" t="str">
        <f t="shared" si="8"/>
        <v>-</v>
      </c>
      <c r="L14" s="40" t="str">
        <f t="shared" si="1"/>
        <v>-</v>
      </c>
      <c r="M14" s="41" t="str">
        <f>IF(L14&lt;&gt;"-",L14*60/'計画数(10分毎)'!$I$3*80%,"-")</f>
        <v>-</v>
      </c>
      <c r="N14" s="40">
        <f>IF('計画数(10分毎)'!$M$4=A14,'計画数(10分毎)'!$P$4,0)</f>
        <v>0</v>
      </c>
      <c r="O14" s="40" t="str">
        <f t="shared" si="9"/>
        <v>-</v>
      </c>
      <c r="P14" s="40" t="str">
        <f t="shared" si="2"/>
        <v>-</v>
      </c>
      <c r="Q14" s="41" t="str">
        <f>IF(P14&lt;&gt;"-",P14*60/'計画数(10分毎)'!$I$4*80%,"-")</f>
        <v>-</v>
      </c>
      <c r="R14" s="40">
        <f>IF('計画数(10分毎)'!$M$5=A14,'計画数(10分毎)'!$P$5,0)</f>
        <v>0</v>
      </c>
      <c r="S14" s="40" t="str">
        <f t="shared" si="10"/>
        <v>-</v>
      </c>
      <c r="T14" s="40" t="str">
        <f t="shared" si="3"/>
        <v>-</v>
      </c>
      <c r="U14" s="41" t="str">
        <f>IF(T14&lt;&gt;"-",T14*60/'計画数(10分毎)'!$I$5*80%,"-")</f>
        <v>-</v>
      </c>
      <c r="V14" s="40">
        <f>IF('計画数(10分毎)'!$M$6=A14,'計画数(10分毎)'!$P$6,0)</f>
        <v>0</v>
      </c>
      <c r="W14" s="40" t="str">
        <f t="shared" si="11"/>
        <v>-</v>
      </c>
      <c r="X14" s="40" t="str">
        <f t="shared" si="4"/>
        <v>-</v>
      </c>
      <c r="Y14" s="41" t="str">
        <f>IF(X14&lt;&gt;"-",X14*60/'計画数(10分毎)'!$I$6*80%,"-")</f>
        <v>-</v>
      </c>
      <c r="Z14" s="41" t="str">
        <f t="shared" si="5"/>
        <v>-</v>
      </c>
      <c r="AA14" s="41">
        <f t="shared" si="6"/>
        <v>0</v>
      </c>
      <c r="AB14" s="42"/>
      <c r="AC14" s="40"/>
      <c r="AD14" s="40"/>
      <c r="AE14" s="40"/>
      <c r="AF14" s="43"/>
      <c r="AI14" s="71"/>
      <c r="AJ14" s="72"/>
      <c r="AK14" s="72"/>
      <c r="AL14" s="72"/>
      <c r="AM14" s="72"/>
      <c r="AN14" s="72"/>
      <c r="AO14" s="72"/>
      <c r="AP14" s="72"/>
      <c r="AQ14" s="72"/>
      <c r="AR14" s="72"/>
      <c r="AS14" s="72"/>
      <c r="AT14" s="72"/>
      <c r="AU14" s="72"/>
      <c r="AV14" s="72"/>
      <c r="AW14" s="72"/>
      <c r="AX14" s="73"/>
    </row>
    <row r="15" spans="1:50" x14ac:dyDescent="0.3">
      <c r="A15" s="36">
        <v>8</v>
      </c>
      <c r="B15" s="81"/>
      <c r="C15" s="44">
        <v>0.34027777777777773</v>
      </c>
      <c r="D15" s="45"/>
      <c r="E15" s="46"/>
      <c r="F15" s="46">
        <f>IF('計画数(10分毎)'!$M$2=A15,'計画数(10分毎)'!$P$2,0)</f>
        <v>0</v>
      </c>
      <c r="G15" s="46" t="str">
        <f t="shared" si="7"/>
        <v>-</v>
      </c>
      <c r="H15" s="46" t="str">
        <f t="shared" si="0"/>
        <v>-</v>
      </c>
      <c r="I15" s="47" t="str">
        <f>IF(H15&lt;&gt;"-",H15*60/'計画数(10分毎)'!$I$2*80%,"-")</f>
        <v>-</v>
      </c>
      <c r="J15" s="46">
        <f>IF('計画数(10分毎)'!$M$3=A15,'計画数(10分毎)'!$P$3,0)</f>
        <v>0</v>
      </c>
      <c r="K15" s="46" t="str">
        <f t="shared" si="8"/>
        <v>-</v>
      </c>
      <c r="L15" s="46" t="str">
        <f t="shared" si="1"/>
        <v>-</v>
      </c>
      <c r="M15" s="47" t="str">
        <f>IF(L15&lt;&gt;"-",L15*60/'計画数(10分毎)'!$I$3*80%,"-")</f>
        <v>-</v>
      </c>
      <c r="N15" s="46">
        <f>IF('計画数(10分毎)'!$M$4=A15,'計画数(10分毎)'!$P$4,0)</f>
        <v>0</v>
      </c>
      <c r="O15" s="46" t="str">
        <f t="shared" si="9"/>
        <v>-</v>
      </c>
      <c r="P15" s="46" t="str">
        <f t="shared" si="2"/>
        <v>-</v>
      </c>
      <c r="Q15" s="47" t="str">
        <f>IF(P15&lt;&gt;"-",P15*60/'計画数(10分毎)'!$I$4*80%,"-")</f>
        <v>-</v>
      </c>
      <c r="R15" s="46">
        <f>IF('計画数(10分毎)'!$M$5=A15,'計画数(10分毎)'!$P$5,0)</f>
        <v>0</v>
      </c>
      <c r="S15" s="46" t="str">
        <f t="shared" si="10"/>
        <v>-</v>
      </c>
      <c r="T15" s="46" t="str">
        <f t="shared" si="3"/>
        <v>-</v>
      </c>
      <c r="U15" s="47" t="str">
        <f>IF(T15&lt;&gt;"-",T15*60/'計画数(10分毎)'!$I$5*80%,"-")</f>
        <v>-</v>
      </c>
      <c r="V15" s="46">
        <f>IF('計画数(10分毎)'!$M$6=A15,'計画数(10分毎)'!$P$6,0)</f>
        <v>0</v>
      </c>
      <c r="W15" s="46" t="str">
        <f t="shared" si="11"/>
        <v>-</v>
      </c>
      <c r="X15" s="46" t="str">
        <f t="shared" si="4"/>
        <v>-</v>
      </c>
      <c r="Y15" s="47" t="str">
        <f>IF(X15&lt;&gt;"-",X15*60/'計画数(10分毎)'!$I$6*80%,"-")</f>
        <v>-</v>
      </c>
      <c r="Z15" s="47" t="str">
        <f t="shared" si="5"/>
        <v>-</v>
      </c>
      <c r="AA15" s="47">
        <f t="shared" si="6"/>
        <v>0</v>
      </c>
      <c r="AB15" s="48"/>
      <c r="AC15" s="46"/>
      <c r="AD15" s="46"/>
      <c r="AE15" s="46"/>
      <c r="AF15" s="49"/>
      <c r="AI15" s="71"/>
      <c r="AJ15" s="72"/>
      <c r="AK15" s="72"/>
      <c r="AL15" s="72"/>
      <c r="AM15" s="72"/>
      <c r="AN15" s="72"/>
      <c r="AO15" s="72"/>
      <c r="AP15" s="72"/>
      <c r="AQ15" s="72"/>
      <c r="AR15" s="72"/>
      <c r="AS15" s="72"/>
      <c r="AT15" s="72"/>
      <c r="AU15" s="72"/>
      <c r="AV15" s="72"/>
      <c r="AW15" s="72"/>
      <c r="AX15" s="73"/>
    </row>
    <row r="16" spans="1:50" x14ac:dyDescent="0.3">
      <c r="A16" s="36">
        <v>9</v>
      </c>
      <c r="B16" s="81"/>
      <c r="C16" s="50">
        <v>0.34722222222222227</v>
      </c>
      <c r="D16" s="51"/>
      <c r="E16" s="52"/>
      <c r="F16" s="53">
        <f>IF('計画数(10分毎)'!$M$2=A16,'計画数(10分毎)'!$P$2,0)</f>
        <v>0</v>
      </c>
      <c r="G16" s="53" t="str">
        <f t="shared" si="7"/>
        <v>-</v>
      </c>
      <c r="H16" s="53" t="str">
        <f t="shared" si="0"/>
        <v>-</v>
      </c>
      <c r="I16" s="54" t="str">
        <f>IF(H16&lt;&gt;"-",H16*60/'計画数(10分毎)'!$I$2*80%,"-")</f>
        <v>-</v>
      </c>
      <c r="J16" s="53">
        <f>IF('計画数(10分毎)'!$M$3=A16,'計画数(10分毎)'!$P$3,0)</f>
        <v>0</v>
      </c>
      <c r="K16" s="53" t="str">
        <f t="shared" si="8"/>
        <v>-</v>
      </c>
      <c r="L16" s="53" t="str">
        <f t="shared" si="1"/>
        <v>-</v>
      </c>
      <c r="M16" s="54" t="str">
        <f>IF(L16&lt;&gt;"-",L16*60/'計画数(10分毎)'!$I$3*80%,"-")</f>
        <v>-</v>
      </c>
      <c r="N16" s="53">
        <f>IF('計画数(10分毎)'!$M$4=A16,'計画数(10分毎)'!$P$4,0)</f>
        <v>0</v>
      </c>
      <c r="O16" s="53" t="str">
        <f t="shared" si="9"/>
        <v>-</v>
      </c>
      <c r="P16" s="53" t="str">
        <f t="shared" si="2"/>
        <v>-</v>
      </c>
      <c r="Q16" s="54" t="str">
        <f>IF(P16&lt;&gt;"-",P16*60/'計画数(10分毎)'!$I$4*80%,"-")</f>
        <v>-</v>
      </c>
      <c r="R16" s="53">
        <f>IF('計画数(10分毎)'!$M$5=A16,'計画数(10分毎)'!$P$5,0)</f>
        <v>0</v>
      </c>
      <c r="S16" s="53" t="str">
        <f t="shared" si="10"/>
        <v>-</v>
      </c>
      <c r="T16" s="53" t="str">
        <f t="shared" si="3"/>
        <v>-</v>
      </c>
      <c r="U16" s="54" t="str">
        <f>IF(T16&lt;&gt;"-",T16*60/'計画数(10分毎)'!$I$5*80%,"-")</f>
        <v>-</v>
      </c>
      <c r="V16" s="53">
        <f>IF('計画数(10分毎)'!$M$6=A16,'計画数(10分毎)'!$P$6,0)</f>
        <v>0</v>
      </c>
      <c r="W16" s="53" t="str">
        <f t="shared" si="11"/>
        <v>-</v>
      </c>
      <c r="X16" s="53" t="str">
        <f t="shared" si="4"/>
        <v>-</v>
      </c>
      <c r="Y16" s="54" t="str">
        <f>IF(X16&lt;&gt;"-",X16*60/'計画数(10分毎)'!$I$6*80%,"-")</f>
        <v>-</v>
      </c>
      <c r="Z16" s="54" t="str">
        <f t="shared" si="5"/>
        <v>-</v>
      </c>
      <c r="AA16" s="54">
        <f t="shared" si="6"/>
        <v>0</v>
      </c>
      <c r="AB16" s="55"/>
      <c r="AC16" s="52"/>
      <c r="AD16" s="52"/>
      <c r="AE16" s="52"/>
      <c r="AF16" s="56"/>
      <c r="AI16" s="71"/>
      <c r="AJ16" s="72"/>
      <c r="AK16" s="72"/>
      <c r="AL16" s="72"/>
      <c r="AM16" s="72"/>
      <c r="AN16" s="72"/>
      <c r="AO16" s="72"/>
      <c r="AP16" s="72"/>
      <c r="AQ16" s="72"/>
      <c r="AR16" s="72"/>
      <c r="AS16" s="72"/>
      <c r="AT16" s="72"/>
      <c r="AU16" s="72"/>
      <c r="AV16" s="72"/>
      <c r="AW16" s="72"/>
      <c r="AX16" s="73"/>
    </row>
    <row r="17" spans="1:50" x14ac:dyDescent="0.3">
      <c r="A17" s="36">
        <v>10</v>
      </c>
      <c r="B17" s="81"/>
      <c r="C17" s="44">
        <v>0.35416666666666669</v>
      </c>
      <c r="D17" s="38"/>
      <c r="E17" s="40"/>
      <c r="F17" s="40">
        <f>IF('計画数(10分毎)'!$M$2=A17,'計画数(10分毎)'!$P$2,0)</f>
        <v>0</v>
      </c>
      <c r="G17" s="40" t="str">
        <f t="shared" ref="G17:G73" si="12">IF(OR(F17&gt;0,G16&lt;&gt;"-"),F17,"-")</f>
        <v>-</v>
      </c>
      <c r="H17" s="40" t="str">
        <f t="shared" ref="H17:H73" si="13">IF(G17=0,10,IF(G17&gt;0,G17))</f>
        <v>-</v>
      </c>
      <c r="I17" s="41" t="str">
        <f>IF(H17&lt;&gt;"-",H17*60/'計画数(10分毎)'!$I$2*80%,"-")</f>
        <v>-</v>
      </c>
      <c r="J17" s="40">
        <f>IF('計画数(10分毎)'!$M$3=A17,'計画数(10分毎)'!$P$3,0)</f>
        <v>0</v>
      </c>
      <c r="K17" s="40" t="str">
        <f t="shared" ref="K17:K73" si="14">IF(OR(J17&gt;0,K16&lt;&gt;"-"),J17,"-")</f>
        <v>-</v>
      </c>
      <c r="L17" s="40" t="str">
        <f t="shared" ref="L17:L73" si="15">IF(K17=0,10,IF(K17&gt;0,K17))</f>
        <v>-</v>
      </c>
      <c r="M17" s="41" t="str">
        <f>IF(L17&lt;&gt;"-",L17*60/'計画数(10分毎)'!$I$3*80%,"-")</f>
        <v>-</v>
      </c>
      <c r="N17" s="40">
        <f>IF('計画数(10分毎)'!$M$4=A17,'計画数(10分毎)'!$P$4,0)</f>
        <v>0</v>
      </c>
      <c r="O17" s="40" t="str">
        <f t="shared" ref="O17:O73" si="16">IF(OR(N17&gt;0,O16&lt;&gt;"-"),N17,"-")</f>
        <v>-</v>
      </c>
      <c r="P17" s="40" t="str">
        <f t="shared" ref="P17:P73" si="17">IF(O17=0,10,IF(O17&gt;0,O17))</f>
        <v>-</v>
      </c>
      <c r="Q17" s="41" t="str">
        <f>IF(P17&lt;&gt;"-",P17*60/'計画数(10分毎)'!$I$4*80%,"-")</f>
        <v>-</v>
      </c>
      <c r="R17" s="40">
        <f>IF('計画数(10分毎)'!$M$5=A17,'計画数(10分毎)'!$P$5,0)</f>
        <v>0</v>
      </c>
      <c r="S17" s="40" t="str">
        <f t="shared" ref="S17:S73" si="18">IF(OR(R17&gt;0,S16&lt;&gt;"-"),R17,"-")</f>
        <v>-</v>
      </c>
      <c r="T17" s="40" t="str">
        <f t="shared" ref="T17:T73" si="19">IF(S17=0,10,IF(S17&gt;0,S17))</f>
        <v>-</v>
      </c>
      <c r="U17" s="41" t="str">
        <f>IF(T17&lt;&gt;"-",T17*60/'計画数(10分毎)'!$I$5*80%,"-")</f>
        <v>-</v>
      </c>
      <c r="V17" s="40">
        <f>IF('計画数(10分毎)'!$M$6=A17,'計画数(10分毎)'!$P$6,0)</f>
        <v>0</v>
      </c>
      <c r="W17" s="40" t="str">
        <f t="shared" ref="W17:W73" si="20">IF(OR(V17&gt;0,W16&lt;&gt;"-"),V17,"-")</f>
        <v>-</v>
      </c>
      <c r="X17" s="40" t="str">
        <f t="shared" ref="X17:X73" si="21">IF(W17=0,10,IF(W17&gt;0,W17))</f>
        <v>-</v>
      </c>
      <c r="Y17" s="41" t="str">
        <f>IF(X17&lt;&gt;"-",X17*60/'計画数(10分毎)'!$I$6*80%,"-")</f>
        <v>-</v>
      </c>
      <c r="Z17" s="41" t="str">
        <f t="shared" ref="Z17:Z73" si="22">IF(Y17&lt;&gt;"-",Y17,IF(U17&lt;&gt;"-",U17,IF(Q17&lt;&gt;"-",Q17,IF(M17&lt;&gt;"-",M17,I17))))</f>
        <v>-</v>
      </c>
      <c r="AA17" s="41">
        <f t="shared" ref="AA17:AA73" si="23">IF(Z17="-",0,Z17)</f>
        <v>0</v>
      </c>
      <c r="AB17" s="42"/>
      <c r="AC17" s="40"/>
      <c r="AD17" s="40"/>
      <c r="AE17" s="40"/>
      <c r="AF17" s="43"/>
      <c r="AI17" s="71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3"/>
    </row>
    <row r="18" spans="1:50" x14ac:dyDescent="0.3">
      <c r="A18" s="36">
        <v>11</v>
      </c>
      <c r="B18" s="81"/>
      <c r="C18" s="44">
        <v>0.3611111111111111</v>
      </c>
      <c r="D18" s="45"/>
      <c r="E18" s="46"/>
      <c r="F18" s="46">
        <f>IF('計画数(10分毎)'!$M$2=A18,'計画数(10分毎)'!$P$2,0)</f>
        <v>0</v>
      </c>
      <c r="G18" s="46" t="str">
        <f t="shared" si="12"/>
        <v>-</v>
      </c>
      <c r="H18" s="46" t="str">
        <f t="shared" si="13"/>
        <v>-</v>
      </c>
      <c r="I18" s="47" t="str">
        <f>IF(H18&lt;&gt;"-",H18*60/'計画数(10分毎)'!$I$2*80%,"-")</f>
        <v>-</v>
      </c>
      <c r="J18" s="46">
        <f>IF('計画数(10分毎)'!$M$3=A18,'計画数(10分毎)'!$P$3,0)</f>
        <v>0</v>
      </c>
      <c r="K18" s="46" t="str">
        <f t="shared" si="14"/>
        <v>-</v>
      </c>
      <c r="L18" s="46" t="str">
        <f t="shared" si="15"/>
        <v>-</v>
      </c>
      <c r="M18" s="47" t="str">
        <f>IF(L18&lt;&gt;"-",L18*60/'計画数(10分毎)'!$I$3*80%,"-")</f>
        <v>-</v>
      </c>
      <c r="N18" s="46">
        <f>IF('計画数(10分毎)'!$M$4=A18,'計画数(10分毎)'!$P$4,0)</f>
        <v>0</v>
      </c>
      <c r="O18" s="46" t="str">
        <f t="shared" si="16"/>
        <v>-</v>
      </c>
      <c r="P18" s="46" t="str">
        <f t="shared" si="17"/>
        <v>-</v>
      </c>
      <c r="Q18" s="47" t="str">
        <f>IF(P18&lt;&gt;"-",P18*60/'計画数(10分毎)'!$I$4*80%,"-")</f>
        <v>-</v>
      </c>
      <c r="R18" s="46">
        <f>IF('計画数(10分毎)'!$M$5=A18,'計画数(10分毎)'!$P$5,0)</f>
        <v>0</v>
      </c>
      <c r="S18" s="46" t="str">
        <f t="shared" si="18"/>
        <v>-</v>
      </c>
      <c r="T18" s="46" t="str">
        <f t="shared" si="19"/>
        <v>-</v>
      </c>
      <c r="U18" s="47" t="str">
        <f>IF(T18&lt;&gt;"-",T18*60/'計画数(10分毎)'!$I$5*80%,"-")</f>
        <v>-</v>
      </c>
      <c r="V18" s="46">
        <f>IF('計画数(10分毎)'!$M$6=A18,'計画数(10分毎)'!$P$6,0)</f>
        <v>0</v>
      </c>
      <c r="W18" s="46" t="str">
        <f t="shared" si="20"/>
        <v>-</v>
      </c>
      <c r="X18" s="46" t="str">
        <f t="shared" si="21"/>
        <v>-</v>
      </c>
      <c r="Y18" s="47" t="str">
        <f>IF(X18&lt;&gt;"-",X18*60/'計画数(10分毎)'!$I$6*80%,"-")</f>
        <v>-</v>
      </c>
      <c r="Z18" s="47" t="str">
        <f t="shared" si="22"/>
        <v>-</v>
      </c>
      <c r="AA18" s="47">
        <f t="shared" si="23"/>
        <v>0</v>
      </c>
      <c r="AB18" s="48"/>
      <c r="AC18" s="46"/>
      <c r="AD18" s="46"/>
      <c r="AE18" s="46"/>
      <c r="AF18" s="49"/>
    </row>
    <row r="19" spans="1:50" x14ac:dyDescent="0.3">
      <c r="A19" s="36">
        <v>12</v>
      </c>
      <c r="B19" s="82"/>
      <c r="C19" s="44">
        <v>0.36805555555555558</v>
      </c>
      <c r="D19" s="59"/>
      <c r="E19" s="52"/>
      <c r="F19" s="53">
        <f>IF('計画数(10分毎)'!$M$2=A19,'計画数(10分毎)'!$P$2,0)</f>
        <v>0</v>
      </c>
      <c r="G19" s="53" t="str">
        <f t="shared" si="12"/>
        <v>-</v>
      </c>
      <c r="H19" s="53" t="str">
        <f t="shared" si="13"/>
        <v>-</v>
      </c>
      <c r="I19" s="54" t="str">
        <f>IF(H19&lt;&gt;"-",H19*60/'計画数(10分毎)'!$I$2*80%,"-")</f>
        <v>-</v>
      </c>
      <c r="J19" s="53">
        <f>IF('計画数(10分毎)'!$M$3=A19,'計画数(10分毎)'!$P$3,0)</f>
        <v>0</v>
      </c>
      <c r="K19" s="53" t="str">
        <f t="shared" si="14"/>
        <v>-</v>
      </c>
      <c r="L19" s="53" t="str">
        <f t="shared" si="15"/>
        <v>-</v>
      </c>
      <c r="M19" s="54" t="str">
        <f>IF(L19&lt;&gt;"-",L19*60/'計画数(10分毎)'!$I$3*80%,"-")</f>
        <v>-</v>
      </c>
      <c r="N19" s="53">
        <f>IF('計画数(10分毎)'!$M$4=A19,'計画数(10分毎)'!$P$4,0)</f>
        <v>0</v>
      </c>
      <c r="O19" s="53" t="str">
        <f t="shared" si="16"/>
        <v>-</v>
      </c>
      <c r="P19" s="53" t="str">
        <f t="shared" si="17"/>
        <v>-</v>
      </c>
      <c r="Q19" s="54" t="str">
        <f>IF(P19&lt;&gt;"-",P19*60/'計画数(10分毎)'!$I$4*80%,"-")</f>
        <v>-</v>
      </c>
      <c r="R19" s="53">
        <f>IF('計画数(10分毎)'!$M$5=A19,'計画数(10分毎)'!$P$5,0)</f>
        <v>0</v>
      </c>
      <c r="S19" s="53" t="str">
        <f t="shared" si="18"/>
        <v>-</v>
      </c>
      <c r="T19" s="53" t="str">
        <f t="shared" si="19"/>
        <v>-</v>
      </c>
      <c r="U19" s="54" t="str">
        <f>IF(T19&lt;&gt;"-",T19*60/'計画数(10分毎)'!$I$5*80%,"-")</f>
        <v>-</v>
      </c>
      <c r="V19" s="53">
        <f>IF('計画数(10分毎)'!$M$6=A19,'計画数(10分毎)'!$P$6,0)</f>
        <v>0</v>
      </c>
      <c r="W19" s="53" t="str">
        <f t="shared" si="20"/>
        <v>-</v>
      </c>
      <c r="X19" s="53" t="str">
        <f t="shared" si="21"/>
        <v>-</v>
      </c>
      <c r="Y19" s="54" t="str">
        <f>IF(X19&lt;&gt;"-",X19*60/'計画数(10分毎)'!$I$6*80%,"-")</f>
        <v>-</v>
      </c>
      <c r="Z19" s="54" t="str">
        <f t="shared" si="22"/>
        <v>-</v>
      </c>
      <c r="AA19" s="54">
        <f t="shared" si="23"/>
        <v>0</v>
      </c>
      <c r="AB19" s="55"/>
      <c r="AC19" s="52"/>
      <c r="AD19" s="52"/>
      <c r="AE19" s="52"/>
      <c r="AF19" s="56"/>
    </row>
    <row r="20" spans="1:50" x14ac:dyDescent="0.3">
      <c r="A20" s="36">
        <v>13</v>
      </c>
      <c r="B20" s="80">
        <v>0.375</v>
      </c>
      <c r="C20" s="37">
        <v>0.375</v>
      </c>
      <c r="D20" s="60"/>
      <c r="E20" s="40"/>
      <c r="F20" s="40">
        <f>IF('計画数(10分毎)'!$M$2=A20,'計画数(10分毎)'!$P$2,0)</f>
        <v>0</v>
      </c>
      <c r="G20" s="40" t="str">
        <f t="shared" si="12"/>
        <v>-</v>
      </c>
      <c r="H20" s="40" t="str">
        <f t="shared" si="13"/>
        <v>-</v>
      </c>
      <c r="I20" s="41" t="str">
        <f>IF(H20&lt;&gt;"-",H20*60/'計画数(10分毎)'!$I$2*80%,"-")</f>
        <v>-</v>
      </c>
      <c r="J20" s="40">
        <f>IF('計画数(10分毎)'!$M$3=A20,'計画数(10分毎)'!$P$3,0)</f>
        <v>0</v>
      </c>
      <c r="K20" s="40" t="str">
        <f t="shared" si="14"/>
        <v>-</v>
      </c>
      <c r="L20" s="40" t="str">
        <f t="shared" si="15"/>
        <v>-</v>
      </c>
      <c r="M20" s="41" t="str">
        <f>IF(L20&lt;&gt;"-",L20*60/'計画数(10分毎)'!$I$3*80%,"-")</f>
        <v>-</v>
      </c>
      <c r="N20" s="40">
        <f>IF('計画数(10分毎)'!$M$4=A20,'計画数(10分毎)'!$P$4,0)</f>
        <v>0</v>
      </c>
      <c r="O20" s="40" t="str">
        <f t="shared" si="16"/>
        <v>-</v>
      </c>
      <c r="P20" s="40" t="str">
        <f t="shared" si="17"/>
        <v>-</v>
      </c>
      <c r="Q20" s="41" t="str">
        <f>IF(P20&lt;&gt;"-",P20*60/'計画数(10分毎)'!$I$4*80%,"-")</f>
        <v>-</v>
      </c>
      <c r="R20" s="40">
        <f>IF('計画数(10分毎)'!$M$5=A20,'計画数(10分毎)'!$P$5,0)</f>
        <v>0</v>
      </c>
      <c r="S20" s="40" t="str">
        <f t="shared" si="18"/>
        <v>-</v>
      </c>
      <c r="T20" s="40" t="str">
        <f t="shared" si="19"/>
        <v>-</v>
      </c>
      <c r="U20" s="41" t="str">
        <f>IF(T20&lt;&gt;"-",T20*60/'計画数(10分毎)'!$I$5*80%,"-")</f>
        <v>-</v>
      </c>
      <c r="V20" s="40">
        <f>IF('計画数(10分毎)'!$M$6=A20,'計画数(10分毎)'!$P$6,0)</f>
        <v>0</v>
      </c>
      <c r="W20" s="40" t="str">
        <f t="shared" si="20"/>
        <v>-</v>
      </c>
      <c r="X20" s="40" t="str">
        <f t="shared" si="21"/>
        <v>-</v>
      </c>
      <c r="Y20" s="41" t="str">
        <f>IF(X20&lt;&gt;"-",X20*60/'計画数(10分毎)'!$I$6*80%,"-")</f>
        <v>-</v>
      </c>
      <c r="Z20" s="41" t="str">
        <f t="shared" si="22"/>
        <v>-</v>
      </c>
      <c r="AA20" s="41">
        <f t="shared" si="23"/>
        <v>0</v>
      </c>
      <c r="AB20" s="42"/>
      <c r="AC20" s="40"/>
      <c r="AD20" s="40"/>
      <c r="AE20" s="40"/>
      <c r="AF20" s="43"/>
    </row>
    <row r="21" spans="1:50" x14ac:dyDescent="0.3">
      <c r="A21" s="36">
        <v>14</v>
      </c>
      <c r="B21" s="81"/>
      <c r="C21" s="61">
        <v>0.38194444444444442</v>
      </c>
      <c r="D21" s="62" t="s">
        <v>11</v>
      </c>
      <c r="E21" s="46"/>
      <c r="F21" s="46">
        <f>IF('計画数(10分毎)'!$M$2=A21,'計画数(10分毎)'!$P$2,0)</f>
        <v>0</v>
      </c>
      <c r="G21" s="46" t="str">
        <f t="shared" si="12"/>
        <v>-</v>
      </c>
      <c r="H21" s="46" t="str">
        <f t="shared" si="13"/>
        <v>-</v>
      </c>
      <c r="I21" s="47" t="str">
        <f>IF(H21&lt;&gt;"-",H21*60/'計画数(10分毎)'!$I$2*80%,"-")</f>
        <v>-</v>
      </c>
      <c r="J21" s="46">
        <f>IF('計画数(10分毎)'!$M$3=A21,'計画数(10分毎)'!$P$3,0)</f>
        <v>0</v>
      </c>
      <c r="K21" s="46" t="str">
        <f t="shared" si="14"/>
        <v>-</v>
      </c>
      <c r="L21" s="46" t="str">
        <f t="shared" si="15"/>
        <v>-</v>
      </c>
      <c r="M21" s="47" t="str">
        <f>IF(L21&lt;&gt;"-",L21*60/'計画数(10分毎)'!$I$3*80%,"-")</f>
        <v>-</v>
      </c>
      <c r="N21" s="46">
        <f>IF('計画数(10分毎)'!$M$4=A21,'計画数(10分毎)'!$P$4,0)</f>
        <v>0</v>
      </c>
      <c r="O21" s="46" t="str">
        <f t="shared" si="16"/>
        <v>-</v>
      </c>
      <c r="P21" s="46" t="str">
        <f t="shared" si="17"/>
        <v>-</v>
      </c>
      <c r="Q21" s="47" t="str">
        <f>IF(P21&lt;&gt;"-",P21*60/'計画数(10分毎)'!$I$4*80%,"-")</f>
        <v>-</v>
      </c>
      <c r="R21" s="46">
        <f>IF('計画数(10分毎)'!$M$5=A21,'計画数(10分毎)'!$P$5,0)</f>
        <v>0</v>
      </c>
      <c r="S21" s="46" t="str">
        <f t="shared" si="18"/>
        <v>-</v>
      </c>
      <c r="T21" s="46" t="str">
        <f t="shared" si="19"/>
        <v>-</v>
      </c>
      <c r="U21" s="47" t="str">
        <f>IF(T21&lt;&gt;"-",T21*60/'計画数(10分毎)'!$I$5*80%,"-")</f>
        <v>-</v>
      </c>
      <c r="V21" s="46">
        <f>IF('計画数(10分毎)'!$M$6=A21,'計画数(10分毎)'!$P$6,0)</f>
        <v>0</v>
      </c>
      <c r="W21" s="46" t="str">
        <f t="shared" si="20"/>
        <v>-</v>
      </c>
      <c r="X21" s="46" t="str">
        <f t="shared" si="21"/>
        <v>-</v>
      </c>
      <c r="Y21" s="47" t="str">
        <f>IF(X21&lt;&gt;"-",X21*60/'計画数(10分毎)'!$I$6*80%,"-")</f>
        <v>-</v>
      </c>
      <c r="Z21" s="47" t="str">
        <f t="shared" si="22"/>
        <v>-</v>
      </c>
      <c r="AA21" s="47">
        <f t="shared" si="23"/>
        <v>0</v>
      </c>
      <c r="AB21" s="48"/>
      <c r="AC21" s="46"/>
      <c r="AD21" s="46"/>
      <c r="AE21" s="46"/>
      <c r="AF21" s="49"/>
    </row>
    <row r="22" spans="1:50" x14ac:dyDescent="0.3">
      <c r="A22" s="36">
        <v>15</v>
      </c>
      <c r="B22" s="81"/>
      <c r="C22" s="50">
        <v>0.3888888888888889</v>
      </c>
      <c r="D22" s="51"/>
      <c r="E22" s="52"/>
      <c r="F22" s="53">
        <f>IF('計画数(10分毎)'!$M$2=A22,'計画数(10分毎)'!$P$2,0)</f>
        <v>0</v>
      </c>
      <c r="G22" s="53" t="str">
        <f t="shared" si="12"/>
        <v>-</v>
      </c>
      <c r="H22" s="53" t="str">
        <f t="shared" si="13"/>
        <v>-</v>
      </c>
      <c r="I22" s="54" t="str">
        <f>IF(H22&lt;&gt;"-",H22*60/'計画数(10分毎)'!$I$2*80%,"-")</f>
        <v>-</v>
      </c>
      <c r="J22" s="53">
        <f>IF('計画数(10分毎)'!$M$3=A22,'計画数(10分毎)'!$P$3,0)</f>
        <v>0</v>
      </c>
      <c r="K22" s="53" t="str">
        <f t="shared" si="14"/>
        <v>-</v>
      </c>
      <c r="L22" s="53" t="str">
        <f t="shared" si="15"/>
        <v>-</v>
      </c>
      <c r="M22" s="54" t="str">
        <f>IF(L22&lt;&gt;"-",L22*60/'計画数(10分毎)'!$I$3*80%,"-")</f>
        <v>-</v>
      </c>
      <c r="N22" s="53">
        <f>IF('計画数(10分毎)'!$M$4=A22,'計画数(10分毎)'!$P$4,0)</f>
        <v>0</v>
      </c>
      <c r="O22" s="53" t="str">
        <f t="shared" si="16"/>
        <v>-</v>
      </c>
      <c r="P22" s="53" t="str">
        <f t="shared" si="17"/>
        <v>-</v>
      </c>
      <c r="Q22" s="54" t="str">
        <f>IF(P22&lt;&gt;"-",P22*60/'計画数(10分毎)'!$I$4*80%,"-")</f>
        <v>-</v>
      </c>
      <c r="R22" s="53">
        <f>IF('計画数(10分毎)'!$M$5=A22,'計画数(10分毎)'!$P$5,0)</f>
        <v>0</v>
      </c>
      <c r="S22" s="53" t="str">
        <f t="shared" si="18"/>
        <v>-</v>
      </c>
      <c r="T22" s="53" t="str">
        <f t="shared" si="19"/>
        <v>-</v>
      </c>
      <c r="U22" s="54" t="str">
        <f>IF(T22&lt;&gt;"-",T22*60/'計画数(10分毎)'!$I$5*80%,"-")</f>
        <v>-</v>
      </c>
      <c r="V22" s="53">
        <f>IF('計画数(10分毎)'!$M$6=A22,'計画数(10分毎)'!$P$6,0)</f>
        <v>0</v>
      </c>
      <c r="W22" s="53" t="str">
        <f t="shared" si="20"/>
        <v>-</v>
      </c>
      <c r="X22" s="53" t="str">
        <f t="shared" si="21"/>
        <v>-</v>
      </c>
      <c r="Y22" s="54" t="str">
        <f>IF(X22&lt;&gt;"-",X22*60/'計画数(10分毎)'!$I$6*80%,"-")</f>
        <v>-</v>
      </c>
      <c r="Z22" s="54" t="str">
        <f t="shared" si="22"/>
        <v>-</v>
      </c>
      <c r="AA22" s="54">
        <f t="shared" si="23"/>
        <v>0</v>
      </c>
      <c r="AB22" s="55"/>
      <c r="AC22" s="52"/>
      <c r="AD22" s="52"/>
      <c r="AE22" s="52"/>
      <c r="AF22" s="56"/>
    </row>
    <row r="23" spans="1:50" x14ac:dyDescent="0.3">
      <c r="A23" s="36">
        <v>16</v>
      </c>
      <c r="B23" s="81"/>
      <c r="C23" s="44">
        <v>0.39583333333333331</v>
      </c>
      <c r="D23" s="38"/>
      <c r="E23" s="40"/>
      <c r="F23" s="40">
        <f>IF('計画数(10分毎)'!$M$2=A23,'計画数(10分毎)'!$P$2,0)</f>
        <v>0</v>
      </c>
      <c r="G23" s="40" t="str">
        <f t="shared" si="12"/>
        <v>-</v>
      </c>
      <c r="H23" s="40" t="str">
        <f t="shared" si="13"/>
        <v>-</v>
      </c>
      <c r="I23" s="41" t="str">
        <f>IF(H23&lt;&gt;"-",H23*60/'計画数(10分毎)'!$I$2*80%,"-")</f>
        <v>-</v>
      </c>
      <c r="J23" s="40">
        <f>IF('計画数(10分毎)'!$M$3=A23,'計画数(10分毎)'!$P$3,0)</f>
        <v>0</v>
      </c>
      <c r="K23" s="40" t="str">
        <f t="shared" si="14"/>
        <v>-</v>
      </c>
      <c r="L23" s="40" t="str">
        <f t="shared" si="15"/>
        <v>-</v>
      </c>
      <c r="M23" s="41" t="str">
        <f>IF(L23&lt;&gt;"-",L23*60/'計画数(10分毎)'!$I$3*80%,"-")</f>
        <v>-</v>
      </c>
      <c r="N23" s="40">
        <f>IF('計画数(10分毎)'!$M$4=A23,'計画数(10分毎)'!$P$4,0)</f>
        <v>0</v>
      </c>
      <c r="O23" s="40" t="str">
        <f t="shared" si="16"/>
        <v>-</v>
      </c>
      <c r="P23" s="40" t="str">
        <f t="shared" si="17"/>
        <v>-</v>
      </c>
      <c r="Q23" s="41" t="str">
        <f>IF(P23&lt;&gt;"-",P23*60/'計画数(10分毎)'!$I$4*80%,"-")</f>
        <v>-</v>
      </c>
      <c r="R23" s="40">
        <f>IF('計画数(10分毎)'!$M$5=A23,'計画数(10分毎)'!$P$5,0)</f>
        <v>0</v>
      </c>
      <c r="S23" s="40" t="str">
        <f t="shared" si="18"/>
        <v>-</v>
      </c>
      <c r="T23" s="40" t="str">
        <f t="shared" si="19"/>
        <v>-</v>
      </c>
      <c r="U23" s="41" t="str">
        <f>IF(T23&lt;&gt;"-",T23*60/'計画数(10分毎)'!$I$5*80%,"-")</f>
        <v>-</v>
      </c>
      <c r="V23" s="40">
        <f>IF('計画数(10分毎)'!$M$6=A23,'計画数(10分毎)'!$P$6,0)</f>
        <v>0</v>
      </c>
      <c r="W23" s="40" t="str">
        <f t="shared" si="20"/>
        <v>-</v>
      </c>
      <c r="X23" s="40" t="str">
        <f t="shared" si="21"/>
        <v>-</v>
      </c>
      <c r="Y23" s="41" t="str">
        <f>IF(X23&lt;&gt;"-",X23*60/'計画数(10分毎)'!$I$6*80%,"-")</f>
        <v>-</v>
      </c>
      <c r="Z23" s="41" t="str">
        <f t="shared" si="22"/>
        <v>-</v>
      </c>
      <c r="AA23" s="41">
        <f t="shared" si="23"/>
        <v>0</v>
      </c>
      <c r="AB23" s="42"/>
      <c r="AC23" s="40"/>
      <c r="AD23" s="40"/>
      <c r="AE23" s="40"/>
      <c r="AF23" s="43"/>
    </row>
    <row r="24" spans="1:50" x14ac:dyDescent="0.3">
      <c r="A24" s="36">
        <v>17</v>
      </c>
      <c r="B24" s="81"/>
      <c r="C24" s="44">
        <v>0.40277777777777773</v>
      </c>
      <c r="D24" s="45"/>
      <c r="E24" s="46"/>
      <c r="F24" s="46">
        <f>IF('計画数(10分毎)'!$M$2=A24,'計画数(10分毎)'!$P$2,0)</f>
        <v>0</v>
      </c>
      <c r="G24" s="46" t="str">
        <f t="shared" si="12"/>
        <v>-</v>
      </c>
      <c r="H24" s="46" t="str">
        <f t="shared" si="13"/>
        <v>-</v>
      </c>
      <c r="I24" s="47" t="str">
        <f>IF(H24&lt;&gt;"-",H24*60/'計画数(10分毎)'!$I$2*80%,"-")</f>
        <v>-</v>
      </c>
      <c r="J24" s="46">
        <f>IF('計画数(10分毎)'!$M$3=A24,'計画数(10分毎)'!$P$3,0)</f>
        <v>0</v>
      </c>
      <c r="K24" s="46" t="str">
        <f t="shared" si="14"/>
        <v>-</v>
      </c>
      <c r="L24" s="46" t="str">
        <f t="shared" si="15"/>
        <v>-</v>
      </c>
      <c r="M24" s="47" t="str">
        <f>IF(L24&lt;&gt;"-",L24*60/'計画数(10分毎)'!$I$3*80%,"-")</f>
        <v>-</v>
      </c>
      <c r="N24" s="46">
        <f>IF('計画数(10分毎)'!$M$4=A24,'計画数(10分毎)'!$P$4,0)</f>
        <v>0</v>
      </c>
      <c r="O24" s="46" t="str">
        <f t="shared" si="16"/>
        <v>-</v>
      </c>
      <c r="P24" s="46" t="str">
        <f t="shared" si="17"/>
        <v>-</v>
      </c>
      <c r="Q24" s="47" t="str">
        <f>IF(P24&lt;&gt;"-",P24*60/'計画数(10分毎)'!$I$4*80%,"-")</f>
        <v>-</v>
      </c>
      <c r="R24" s="46">
        <f>IF('計画数(10分毎)'!$M$5=A24,'計画数(10分毎)'!$P$5,0)</f>
        <v>0</v>
      </c>
      <c r="S24" s="46" t="str">
        <f t="shared" si="18"/>
        <v>-</v>
      </c>
      <c r="T24" s="46" t="str">
        <f t="shared" si="19"/>
        <v>-</v>
      </c>
      <c r="U24" s="47" t="str">
        <f>IF(T24&lt;&gt;"-",T24*60/'計画数(10分毎)'!$I$5*80%,"-")</f>
        <v>-</v>
      </c>
      <c r="V24" s="46">
        <f>IF('計画数(10分毎)'!$M$6=A24,'計画数(10分毎)'!$P$6,0)</f>
        <v>0</v>
      </c>
      <c r="W24" s="46" t="str">
        <f t="shared" si="20"/>
        <v>-</v>
      </c>
      <c r="X24" s="46" t="str">
        <f t="shared" si="21"/>
        <v>-</v>
      </c>
      <c r="Y24" s="47" t="str">
        <f>IF(X24&lt;&gt;"-",X24*60/'計画数(10分毎)'!$I$6*80%,"-")</f>
        <v>-</v>
      </c>
      <c r="Z24" s="47" t="str">
        <f t="shared" si="22"/>
        <v>-</v>
      </c>
      <c r="AA24" s="47">
        <f t="shared" si="23"/>
        <v>0</v>
      </c>
      <c r="AB24" s="48"/>
      <c r="AC24" s="46"/>
      <c r="AD24" s="46"/>
      <c r="AE24" s="46"/>
      <c r="AF24" s="49"/>
    </row>
    <row r="25" spans="1:50" x14ac:dyDescent="0.3">
      <c r="A25" s="36">
        <v>18</v>
      </c>
      <c r="B25" s="82"/>
      <c r="C25" s="44">
        <v>0.40972222222222227</v>
      </c>
      <c r="D25" s="59"/>
      <c r="E25" s="52"/>
      <c r="F25" s="53">
        <f>IF('計画数(10分毎)'!$M$2=A25,'計画数(10分毎)'!$P$2,0)</f>
        <v>0</v>
      </c>
      <c r="G25" s="53" t="str">
        <f t="shared" si="12"/>
        <v>-</v>
      </c>
      <c r="H25" s="53" t="str">
        <f t="shared" si="13"/>
        <v>-</v>
      </c>
      <c r="I25" s="54" t="str">
        <f>IF(H25&lt;&gt;"-",H25*60/'計画数(10分毎)'!$I$2*80%,"-")</f>
        <v>-</v>
      </c>
      <c r="J25" s="53">
        <f>IF('計画数(10分毎)'!$M$3=A25,'計画数(10分毎)'!$P$3,0)</f>
        <v>0</v>
      </c>
      <c r="K25" s="53" t="str">
        <f t="shared" si="14"/>
        <v>-</v>
      </c>
      <c r="L25" s="53" t="str">
        <f t="shared" si="15"/>
        <v>-</v>
      </c>
      <c r="M25" s="54" t="str">
        <f>IF(L25&lt;&gt;"-",L25*60/'計画数(10分毎)'!$I$3*80%,"-")</f>
        <v>-</v>
      </c>
      <c r="N25" s="53">
        <f>IF('計画数(10分毎)'!$M$4=A25,'計画数(10分毎)'!$P$4,0)</f>
        <v>0</v>
      </c>
      <c r="O25" s="53" t="str">
        <f t="shared" si="16"/>
        <v>-</v>
      </c>
      <c r="P25" s="53" t="str">
        <f t="shared" si="17"/>
        <v>-</v>
      </c>
      <c r="Q25" s="54" t="str">
        <f>IF(P25&lt;&gt;"-",P25*60/'計画数(10分毎)'!$I$4*80%,"-")</f>
        <v>-</v>
      </c>
      <c r="R25" s="53">
        <f>IF('計画数(10分毎)'!$M$5=A25,'計画数(10分毎)'!$P$5,0)</f>
        <v>0</v>
      </c>
      <c r="S25" s="53" t="str">
        <f t="shared" si="18"/>
        <v>-</v>
      </c>
      <c r="T25" s="53" t="str">
        <f t="shared" si="19"/>
        <v>-</v>
      </c>
      <c r="U25" s="54" t="str">
        <f>IF(T25&lt;&gt;"-",T25*60/'計画数(10分毎)'!$I$5*80%,"-")</f>
        <v>-</v>
      </c>
      <c r="V25" s="53">
        <f>IF('計画数(10分毎)'!$M$6=A25,'計画数(10分毎)'!$P$6,0)</f>
        <v>0</v>
      </c>
      <c r="W25" s="53" t="str">
        <f t="shared" si="20"/>
        <v>-</v>
      </c>
      <c r="X25" s="53" t="str">
        <f t="shared" si="21"/>
        <v>-</v>
      </c>
      <c r="Y25" s="54" t="str">
        <f>IF(X25&lt;&gt;"-",X25*60/'計画数(10分毎)'!$I$6*80%,"-")</f>
        <v>-</v>
      </c>
      <c r="Z25" s="54" t="str">
        <f t="shared" si="22"/>
        <v>-</v>
      </c>
      <c r="AA25" s="54">
        <f t="shared" si="23"/>
        <v>0</v>
      </c>
      <c r="AB25" s="55"/>
      <c r="AC25" s="52"/>
      <c r="AD25" s="52"/>
      <c r="AE25" s="52"/>
      <c r="AF25" s="56"/>
    </row>
    <row r="26" spans="1:50" x14ac:dyDescent="0.3">
      <c r="A26" s="36">
        <v>19</v>
      </c>
      <c r="B26" s="80">
        <v>0.41666666666666702</v>
      </c>
      <c r="C26" s="37">
        <v>0.41666666666666669</v>
      </c>
      <c r="D26" s="60"/>
      <c r="E26" s="40"/>
      <c r="F26" s="40">
        <f>IF('計画数(10分毎)'!$M$2=A26,'計画数(10分毎)'!$P$2,0)</f>
        <v>0</v>
      </c>
      <c r="G26" s="40" t="str">
        <f t="shared" si="12"/>
        <v>-</v>
      </c>
      <c r="H26" s="40" t="str">
        <f t="shared" si="13"/>
        <v>-</v>
      </c>
      <c r="I26" s="41" t="str">
        <f>IF(H26&lt;&gt;"-",H26*60/'計画数(10分毎)'!$I$2*80%,"-")</f>
        <v>-</v>
      </c>
      <c r="J26" s="40">
        <f>IF('計画数(10分毎)'!$M$3=A26,'計画数(10分毎)'!$P$3,0)</f>
        <v>0</v>
      </c>
      <c r="K26" s="40" t="str">
        <f t="shared" si="14"/>
        <v>-</v>
      </c>
      <c r="L26" s="40" t="str">
        <f t="shared" si="15"/>
        <v>-</v>
      </c>
      <c r="M26" s="41" t="str">
        <f>IF(L26&lt;&gt;"-",L26*60/'計画数(10分毎)'!$I$3*80%,"-")</f>
        <v>-</v>
      </c>
      <c r="N26" s="40">
        <f>IF('計画数(10分毎)'!$M$4=A26,'計画数(10分毎)'!$P$4,0)</f>
        <v>0</v>
      </c>
      <c r="O26" s="40" t="str">
        <f t="shared" si="16"/>
        <v>-</v>
      </c>
      <c r="P26" s="40" t="str">
        <f t="shared" si="17"/>
        <v>-</v>
      </c>
      <c r="Q26" s="41" t="str">
        <f>IF(P26&lt;&gt;"-",P26*60/'計画数(10分毎)'!$I$4*80%,"-")</f>
        <v>-</v>
      </c>
      <c r="R26" s="40">
        <f>IF('計画数(10分毎)'!$M$5=A26,'計画数(10分毎)'!$P$5,0)</f>
        <v>0</v>
      </c>
      <c r="S26" s="40" t="str">
        <f t="shared" si="18"/>
        <v>-</v>
      </c>
      <c r="T26" s="40" t="str">
        <f t="shared" si="19"/>
        <v>-</v>
      </c>
      <c r="U26" s="41" t="str">
        <f>IF(T26&lt;&gt;"-",T26*60/'計画数(10分毎)'!$I$5*80%,"-")</f>
        <v>-</v>
      </c>
      <c r="V26" s="40">
        <f>IF('計画数(10分毎)'!$M$6=A26,'計画数(10分毎)'!$P$6,0)</f>
        <v>0</v>
      </c>
      <c r="W26" s="40" t="str">
        <f t="shared" si="20"/>
        <v>-</v>
      </c>
      <c r="X26" s="40" t="str">
        <f t="shared" si="21"/>
        <v>-</v>
      </c>
      <c r="Y26" s="41" t="str">
        <f>IF(X26&lt;&gt;"-",X26*60/'計画数(10分毎)'!$I$6*80%,"-")</f>
        <v>-</v>
      </c>
      <c r="Z26" s="41" t="str">
        <f t="shared" si="22"/>
        <v>-</v>
      </c>
      <c r="AA26" s="41">
        <f t="shared" si="23"/>
        <v>0</v>
      </c>
      <c r="AB26" s="42"/>
      <c r="AC26" s="40"/>
      <c r="AD26" s="40"/>
      <c r="AE26" s="40"/>
      <c r="AF26" s="43"/>
    </row>
    <row r="27" spans="1:50" x14ac:dyDescent="0.3">
      <c r="A27" s="36">
        <v>20</v>
      </c>
      <c r="B27" s="81"/>
      <c r="C27" s="44">
        <v>0.4236111111111111</v>
      </c>
      <c r="D27" s="45"/>
      <c r="E27" s="46"/>
      <c r="F27" s="46">
        <f>IF('計画数(10分毎)'!$M$2=A27,'計画数(10分毎)'!$P$2,0)</f>
        <v>0</v>
      </c>
      <c r="G27" s="46" t="str">
        <f t="shared" si="12"/>
        <v>-</v>
      </c>
      <c r="H27" s="46" t="str">
        <f t="shared" si="13"/>
        <v>-</v>
      </c>
      <c r="I27" s="47" t="str">
        <f>IF(H27&lt;&gt;"-",H27*60/'計画数(10分毎)'!$I$2*80%,"-")</f>
        <v>-</v>
      </c>
      <c r="J27" s="46">
        <f>IF('計画数(10分毎)'!$M$3=A27,'計画数(10分毎)'!$P$3,0)</f>
        <v>0</v>
      </c>
      <c r="K27" s="46" t="str">
        <f t="shared" si="14"/>
        <v>-</v>
      </c>
      <c r="L27" s="46" t="str">
        <f t="shared" si="15"/>
        <v>-</v>
      </c>
      <c r="M27" s="47" t="str">
        <f>IF(L27&lt;&gt;"-",L27*60/'計画数(10分毎)'!$I$3*80%,"-")</f>
        <v>-</v>
      </c>
      <c r="N27" s="46">
        <f>IF('計画数(10分毎)'!$M$4=A27,'計画数(10分毎)'!$P$4,0)</f>
        <v>0</v>
      </c>
      <c r="O27" s="46" t="str">
        <f t="shared" si="16"/>
        <v>-</v>
      </c>
      <c r="P27" s="46" t="str">
        <f t="shared" si="17"/>
        <v>-</v>
      </c>
      <c r="Q27" s="47" t="str">
        <f>IF(P27&lt;&gt;"-",P27*60/'計画数(10分毎)'!$I$4*80%,"-")</f>
        <v>-</v>
      </c>
      <c r="R27" s="46">
        <f>IF('計画数(10分毎)'!$M$5=A27,'計画数(10分毎)'!$P$5,0)</f>
        <v>0</v>
      </c>
      <c r="S27" s="46" t="str">
        <f t="shared" si="18"/>
        <v>-</v>
      </c>
      <c r="T27" s="46" t="str">
        <f t="shared" si="19"/>
        <v>-</v>
      </c>
      <c r="U27" s="47" t="str">
        <f>IF(T27&lt;&gt;"-",T27*60/'計画数(10分毎)'!$I$5*80%,"-")</f>
        <v>-</v>
      </c>
      <c r="V27" s="46">
        <f>IF('計画数(10分毎)'!$M$6=A27,'計画数(10分毎)'!$P$6,0)</f>
        <v>0</v>
      </c>
      <c r="W27" s="46" t="str">
        <f t="shared" si="20"/>
        <v>-</v>
      </c>
      <c r="X27" s="46" t="str">
        <f t="shared" si="21"/>
        <v>-</v>
      </c>
      <c r="Y27" s="47" t="str">
        <f>IF(X27&lt;&gt;"-",X27*60/'計画数(10分毎)'!$I$6*80%,"-")</f>
        <v>-</v>
      </c>
      <c r="Z27" s="47" t="str">
        <f t="shared" si="22"/>
        <v>-</v>
      </c>
      <c r="AA27" s="47">
        <f t="shared" si="23"/>
        <v>0</v>
      </c>
      <c r="AB27" s="48"/>
      <c r="AC27" s="46"/>
      <c r="AD27" s="46"/>
      <c r="AE27" s="46"/>
      <c r="AF27" s="49"/>
    </row>
    <row r="28" spans="1:50" x14ac:dyDescent="0.3">
      <c r="A28" s="36">
        <v>21</v>
      </c>
      <c r="B28" s="81"/>
      <c r="C28" s="50">
        <v>0.43055555555555558</v>
      </c>
      <c r="D28" s="51"/>
      <c r="E28" s="52"/>
      <c r="F28" s="53">
        <f>IF('計画数(10分毎)'!$M$2=A28,'計画数(10分毎)'!$P$2,0)</f>
        <v>0</v>
      </c>
      <c r="G28" s="53" t="str">
        <f t="shared" si="12"/>
        <v>-</v>
      </c>
      <c r="H28" s="53" t="str">
        <f t="shared" si="13"/>
        <v>-</v>
      </c>
      <c r="I28" s="54" t="str">
        <f>IF(H28&lt;&gt;"-",H28*60/'計画数(10分毎)'!$I$2*80%,"-")</f>
        <v>-</v>
      </c>
      <c r="J28" s="53">
        <f>IF('計画数(10分毎)'!$M$3=A28,'計画数(10分毎)'!$P$3,0)</f>
        <v>0</v>
      </c>
      <c r="K28" s="53" t="str">
        <f t="shared" si="14"/>
        <v>-</v>
      </c>
      <c r="L28" s="53" t="str">
        <f t="shared" si="15"/>
        <v>-</v>
      </c>
      <c r="M28" s="54" t="str">
        <f>IF(L28&lt;&gt;"-",L28*60/'計画数(10分毎)'!$I$3*80%,"-")</f>
        <v>-</v>
      </c>
      <c r="N28" s="53">
        <f>IF('計画数(10分毎)'!$M$4=A28,'計画数(10分毎)'!$P$4,0)</f>
        <v>0</v>
      </c>
      <c r="O28" s="53" t="str">
        <f t="shared" si="16"/>
        <v>-</v>
      </c>
      <c r="P28" s="53" t="str">
        <f t="shared" si="17"/>
        <v>-</v>
      </c>
      <c r="Q28" s="54" t="str">
        <f>IF(P28&lt;&gt;"-",P28*60/'計画数(10分毎)'!$I$4*80%,"-")</f>
        <v>-</v>
      </c>
      <c r="R28" s="53">
        <f>IF('計画数(10分毎)'!$M$5=A28,'計画数(10分毎)'!$P$5,0)</f>
        <v>0</v>
      </c>
      <c r="S28" s="53" t="str">
        <f t="shared" si="18"/>
        <v>-</v>
      </c>
      <c r="T28" s="53" t="str">
        <f t="shared" si="19"/>
        <v>-</v>
      </c>
      <c r="U28" s="54" t="str">
        <f>IF(T28&lt;&gt;"-",T28*60/'計画数(10分毎)'!$I$5*80%,"-")</f>
        <v>-</v>
      </c>
      <c r="V28" s="53">
        <f>IF('計画数(10分毎)'!$M$6=A28,'計画数(10分毎)'!$P$6,0)</f>
        <v>0</v>
      </c>
      <c r="W28" s="53" t="str">
        <f t="shared" si="20"/>
        <v>-</v>
      </c>
      <c r="X28" s="53" t="str">
        <f t="shared" si="21"/>
        <v>-</v>
      </c>
      <c r="Y28" s="54" t="str">
        <f>IF(X28&lt;&gt;"-",X28*60/'計画数(10分毎)'!$I$6*80%,"-")</f>
        <v>-</v>
      </c>
      <c r="Z28" s="54" t="str">
        <f t="shared" si="22"/>
        <v>-</v>
      </c>
      <c r="AA28" s="54">
        <f t="shared" si="23"/>
        <v>0</v>
      </c>
      <c r="AB28" s="55"/>
      <c r="AC28" s="52"/>
      <c r="AD28" s="52"/>
      <c r="AE28" s="52"/>
      <c r="AF28" s="56"/>
    </row>
    <row r="29" spans="1:50" x14ac:dyDescent="0.3">
      <c r="A29" s="36">
        <v>22</v>
      </c>
      <c r="B29" s="81"/>
      <c r="C29" s="44">
        <v>0.4375</v>
      </c>
      <c r="D29" s="38"/>
      <c r="E29" s="40"/>
      <c r="F29" s="40">
        <f>IF('計画数(10分毎)'!$M$2=A29,'計画数(10分毎)'!$P$2,0)</f>
        <v>0</v>
      </c>
      <c r="G29" s="40" t="str">
        <f t="shared" si="12"/>
        <v>-</v>
      </c>
      <c r="H29" s="40" t="str">
        <f t="shared" si="13"/>
        <v>-</v>
      </c>
      <c r="I29" s="41" t="str">
        <f>IF(H29&lt;&gt;"-",H29*60/'計画数(10分毎)'!$I$2*80%,"-")</f>
        <v>-</v>
      </c>
      <c r="J29" s="40">
        <f>IF('計画数(10分毎)'!$M$3=A29,'計画数(10分毎)'!$P$3,0)</f>
        <v>0</v>
      </c>
      <c r="K29" s="40" t="str">
        <f t="shared" si="14"/>
        <v>-</v>
      </c>
      <c r="L29" s="40" t="str">
        <f t="shared" si="15"/>
        <v>-</v>
      </c>
      <c r="M29" s="41" t="str">
        <f>IF(L29&lt;&gt;"-",L29*60/'計画数(10分毎)'!$I$3*80%,"-")</f>
        <v>-</v>
      </c>
      <c r="N29" s="40">
        <f>IF('計画数(10分毎)'!$M$4=A29,'計画数(10分毎)'!$P$4,0)</f>
        <v>0</v>
      </c>
      <c r="O29" s="40" t="str">
        <f t="shared" si="16"/>
        <v>-</v>
      </c>
      <c r="P29" s="40" t="str">
        <f t="shared" si="17"/>
        <v>-</v>
      </c>
      <c r="Q29" s="41" t="str">
        <f>IF(P29&lt;&gt;"-",P29*60/'計画数(10分毎)'!$I$4*80%,"-")</f>
        <v>-</v>
      </c>
      <c r="R29" s="40">
        <f>IF('計画数(10分毎)'!$M$5=A29,'計画数(10分毎)'!$P$5,0)</f>
        <v>0</v>
      </c>
      <c r="S29" s="40" t="str">
        <f t="shared" si="18"/>
        <v>-</v>
      </c>
      <c r="T29" s="40" t="str">
        <f t="shared" si="19"/>
        <v>-</v>
      </c>
      <c r="U29" s="41" t="str">
        <f>IF(T29&lt;&gt;"-",T29*60/'計画数(10分毎)'!$I$5*80%,"-")</f>
        <v>-</v>
      </c>
      <c r="V29" s="40">
        <f>IF('計画数(10分毎)'!$M$6=A29,'計画数(10分毎)'!$P$6,0)</f>
        <v>0</v>
      </c>
      <c r="W29" s="40" t="str">
        <f t="shared" si="20"/>
        <v>-</v>
      </c>
      <c r="X29" s="40" t="str">
        <f t="shared" si="21"/>
        <v>-</v>
      </c>
      <c r="Y29" s="41" t="str">
        <f>IF(X29&lt;&gt;"-",X29*60/'計画数(10分毎)'!$I$6*80%,"-")</f>
        <v>-</v>
      </c>
      <c r="Z29" s="41" t="str">
        <f t="shared" si="22"/>
        <v>-</v>
      </c>
      <c r="AA29" s="41">
        <f t="shared" si="23"/>
        <v>0</v>
      </c>
      <c r="AB29" s="42"/>
      <c r="AC29" s="40"/>
      <c r="AD29" s="40"/>
      <c r="AE29" s="40"/>
      <c r="AF29" s="43"/>
    </row>
    <row r="30" spans="1:50" x14ac:dyDescent="0.3">
      <c r="A30" s="36">
        <v>23</v>
      </c>
      <c r="B30" s="81"/>
      <c r="C30" s="44">
        <v>0.44444444444444442</v>
      </c>
      <c r="D30" s="45"/>
      <c r="E30" s="46"/>
      <c r="F30" s="46">
        <f>IF('計画数(10分毎)'!$M$2=A30,'計画数(10分毎)'!$P$2,0)</f>
        <v>0</v>
      </c>
      <c r="G30" s="46" t="str">
        <f t="shared" si="12"/>
        <v>-</v>
      </c>
      <c r="H30" s="46" t="str">
        <f t="shared" si="13"/>
        <v>-</v>
      </c>
      <c r="I30" s="47" t="str">
        <f>IF(H30&lt;&gt;"-",H30*60/'計画数(10分毎)'!$I$2*80%,"-")</f>
        <v>-</v>
      </c>
      <c r="J30" s="46">
        <f>IF('計画数(10分毎)'!$M$3=A30,'計画数(10分毎)'!$P$3,0)</f>
        <v>0</v>
      </c>
      <c r="K30" s="46" t="str">
        <f t="shared" si="14"/>
        <v>-</v>
      </c>
      <c r="L30" s="46" t="str">
        <f t="shared" si="15"/>
        <v>-</v>
      </c>
      <c r="M30" s="47" t="str">
        <f>IF(L30&lt;&gt;"-",L30*60/'計画数(10分毎)'!$I$3*80%,"-")</f>
        <v>-</v>
      </c>
      <c r="N30" s="46">
        <f>IF('計画数(10分毎)'!$M$4=A30,'計画数(10分毎)'!$P$4,0)</f>
        <v>0</v>
      </c>
      <c r="O30" s="46" t="str">
        <f t="shared" si="16"/>
        <v>-</v>
      </c>
      <c r="P30" s="46" t="str">
        <f t="shared" si="17"/>
        <v>-</v>
      </c>
      <c r="Q30" s="47" t="str">
        <f>IF(P30&lt;&gt;"-",P30*60/'計画数(10分毎)'!$I$4*80%,"-")</f>
        <v>-</v>
      </c>
      <c r="R30" s="46">
        <f>IF('計画数(10分毎)'!$M$5=A30,'計画数(10分毎)'!$P$5,0)</f>
        <v>0</v>
      </c>
      <c r="S30" s="46" t="str">
        <f t="shared" si="18"/>
        <v>-</v>
      </c>
      <c r="T30" s="46" t="str">
        <f t="shared" si="19"/>
        <v>-</v>
      </c>
      <c r="U30" s="47" t="str">
        <f>IF(T30&lt;&gt;"-",T30*60/'計画数(10分毎)'!$I$5*80%,"-")</f>
        <v>-</v>
      </c>
      <c r="V30" s="46">
        <f>IF('計画数(10分毎)'!$M$6=A30,'計画数(10分毎)'!$P$6,0)</f>
        <v>0</v>
      </c>
      <c r="W30" s="46" t="str">
        <f t="shared" si="20"/>
        <v>-</v>
      </c>
      <c r="X30" s="46" t="str">
        <f t="shared" si="21"/>
        <v>-</v>
      </c>
      <c r="Y30" s="47" t="str">
        <f>IF(X30&lt;&gt;"-",X30*60/'計画数(10分毎)'!$I$6*80%,"-")</f>
        <v>-</v>
      </c>
      <c r="Z30" s="47" t="str">
        <f t="shared" si="22"/>
        <v>-</v>
      </c>
      <c r="AA30" s="47">
        <f t="shared" si="23"/>
        <v>0</v>
      </c>
      <c r="AB30" s="48"/>
      <c r="AC30" s="46"/>
      <c r="AD30" s="46"/>
      <c r="AE30" s="46"/>
      <c r="AF30" s="49"/>
    </row>
    <row r="31" spans="1:50" x14ac:dyDescent="0.3">
      <c r="A31" s="36">
        <v>24</v>
      </c>
      <c r="B31" s="82"/>
      <c r="C31" s="44">
        <v>0.4513888888888889</v>
      </c>
      <c r="D31" s="59"/>
      <c r="E31" s="52"/>
      <c r="F31" s="53">
        <f>IF('計画数(10分毎)'!$M$2=A31,'計画数(10分毎)'!$P$2,0)</f>
        <v>0</v>
      </c>
      <c r="G31" s="53" t="str">
        <f t="shared" si="12"/>
        <v>-</v>
      </c>
      <c r="H31" s="53" t="str">
        <f t="shared" si="13"/>
        <v>-</v>
      </c>
      <c r="I31" s="54" t="str">
        <f>IF(H31&lt;&gt;"-",H31*60/'計画数(10分毎)'!$I$2*80%,"-")</f>
        <v>-</v>
      </c>
      <c r="J31" s="53">
        <f>IF('計画数(10分毎)'!$M$3=A31,'計画数(10分毎)'!$P$3,0)</f>
        <v>0</v>
      </c>
      <c r="K31" s="53" t="str">
        <f t="shared" si="14"/>
        <v>-</v>
      </c>
      <c r="L31" s="53" t="str">
        <f t="shared" si="15"/>
        <v>-</v>
      </c>
      <c r="M31" s="54" t="str">
        <f>IF(L31&lt;&gt;"-",L31*60/'計画数(10分毎)'!$I$3*80%,"-")</f>
        <v>-</v>
      </c>
      <c r="N31" s="53">
        <f>IF('計画数(10分毎)'!$M$4=A31,'計画数(10分毎)'!$P$4,0)</f>
        <v>0</v>
      </c>
      <c r="O31" s="53" t="str">
        <f t="shared" si="16"/>
        <v>-</v>
      </c>
      <c r="P31" s="53" t="str">
        <f t="shared" si="17"/>
        <v>-</v>
      </c>
      <c r="Q31" s="54" t="str">
        <f>IF(P31&lt;&gt;"-",P31*60/'計画数(10分毎)'!$I$4*80%,"-")</f>
        <v>-</v>
      </c>
      <c r="R31" s="53">
        <f>IF('計画数(10分毎)'!$M$5=A31,'計画数(10分毎)'!$P$5,0)</f>
        <v>0</v>
      </c>
      <c r="S31" s="53" t="str">
        <f t="shared" si="18"/>
        <v>-</v>
      </c>
      <c r="T31" s="53" t="str">
        <f t="shared" si="19"/>
        <v>-</v>
      </c>
      <c r="U31" s="54" t="str">
        <f>IF(T31&lt;&gt;"-",T31*60/'計画数(10分毎)'!$I$5*80%,"-")</f>
        <v>-</v>
      </c>
      <c r="V31" s="53">
        <f>IF('計画数(10分毎)'!$M$6=A31,'計画数(10分毎)'!$P$6,0)</f>
        <v>0</v>
      </c>
      <c r="W31" s="53" t="str">
        <f t="shared" si="20"/>
        <v>-</v>
      </c>
      <c r="X31" s="53" t="str">
        <f t="shared" si="21"/>
        <v>-</v>
      </c>
      <c r="Y31" s="54" t="str">
        <f>IF(X31&lt;&gt;"-",X31*60/'計画数(10分毎)'!$I$6*80%,"-")</f>
        <v>-</v>
      </c>
      <c r="Z31" s="54" t="str">
        <f t="shared" si="22"/>
        <v>-</v>
      </c>
      <c r="AA31" s="54">
        <f t="shared" si="23"/>
        <v>0</v>
      </c>
      <c r="AB31" s="55"/>
      <c r="AC31" s="52"/>
      <c r="AD31" s="52"/>
      <c r="AE31" s="52"/>
      <c r="AF31" s="56"/>
    </row>
    <row r="32" spans="1:50" x14ac:dyDescent="0.3">
      <c r="A32" s="36">
        <v>25</v>
      </c>
      <c r="B32" s="80">
        <v>0.45833333333333398</v>
      </c>
      <c r="C32" s="37">
        <v>0.45833333333333331</v>
      </c>
      <c r="D32" s="60"/>
      <c r="E32" s="40"/>
      <c r="F32" s="40">
        <f>IF('計画数(10分毎)'!$M$2=A32,'計画数(10分毎)'!$P$2,0)</f>
        <v>0</v>
      </c>
      <c r="G32" s="40" t="str">
        <f t="shared" si="12"/>
        <v>-</v>
      </c>
      <c r="H32" s="40" t="str">
        <f t="shared" si="13"/>
        <v>-</v>
      </c>
      <c r="I32" s="41" t="str">
        <f>IF(H32&lt;&gt;"-",H32*60/'計画数(10分毎)'!$I$2*80%,"-")</f>
        <v>-</v>
      </c>
      <c r="J32" s="40">
        <f>IF('計画数(10分毎)'!$M$3=A32,'計画数(10分毎)'!$P$3,0)</f>
        <v>0</v>
      </c>
      <c r="K32" s="40" t="str">
        <f t="shared" si="14"/>
        <v>-</v>
      </c>
      <c r="L32" s="40" t="str">
        <f t="shared" si="15"/>
        <v>-</v>
      </c>
      <c r="M32" s="41" t="str">
        <f>IF(L32&lt;&gt;"-",L32*60/'計画数(10分毎)'!$I$3*80%,"-")</f>
        <v>-</v>
      </c>
      <c r="N32" s="40">
        <f>IF('計画数(10分毎)'!$M$4=A32,'計画数(10分毎)'!$P$4,0)</f>
        <v>0</v>
      </c>
      <c r="O32" s="40" t="str">
        <f t="shared" si="16"/>
        <v>-</v>
      </c>
      <c r="P32" s="40" t="str">
        <f t="shared" si="17"/>
        <v>-</v>
      </c>
      <c r="Q32" s="41" t="str">
        <f>IF(P32&lt;&gt;"-",P32*60/'計画数(10分毎)'!$I$4*80%,"-")</f>
        <v>-</v>
      </c>
      <c r="R32" s="40">
        <f>IF('計画数(10分毎)'!$M$5=A32,'計画数(10分毎)'!$P$5,0)</f>
        <v>0</v>
      </c>
      <c r="S32" s="40" t="str">
        <f t="shared" si="18"/>
        <v>-</v>
      </c>
      <c r="T32" s="40" t="str">
        <f t="shared" si="19"/>
        <v>-</v>
      </c>
      <c r="U32" s="41" t="str">
        <f>IF(T32&lt;&gt;"-",T32*60/'計画数(10分毎)'!$I$5*80%,"-")</f>
        <v>-</v>
      </c>
      <c r="V32" s="40">
        <f>IF('計画数(10分毎)'!$M$6=A32,'計画数(10分毎)'!$P$6,0)</f>
        <v>0</v>
      </c>
      <c r="W32" s="40" t="str">
        <f t="shared" si="20"/>
        <v>-</v>
      </c>
      <c r="X32" s="40" t="str">
        <f t="shared" si="21"/>
        <v>-</v>
      </c>
      <c r="Y32" s="41" t="str">
        <f>IF(X32&lt;&gt;"-",X32*60/'計画数(10分毎)'!$I$6*80%,"-")</f>
        <v>-</v>
      </c>
      <c r="Z32" s="41" t="str">
        <f t="shared" si="22"/>
        <v>-</v>
      </c>
      <c r="AA32" s="41">
        <f t="shared" si="23"/>
        <v>0</v>
      </c>
      <c r="AB32" s="42"/>
      <c r="AC32" s="40"/>
      <c r="AD32" s="40"/>
      <c r="AE32" s="40"/>
      <c r="AF32" s="43"/>
    </row>
    <row r="33" spans="1:32" x14ac:dyDescent="0.3">
      <c r="A33" s="36">
        <v>26</v>
      </c>
      <c r="B33" s="81"/>
      <c r="C33" s="44">
        <v>0.46527777777777773</v>
      </c>
      <c r="D33" s="45"/>
      <c r="E33" s="46"/>
      <c r="F33" s="46">
        <f>IF('計画数(10分毎)'!$M$2=A33,'計画数(10分毎)'!$P$2,0)</f>
        <v>0</v>
      </c>
      <c r="G33" s="46" t="str">
        <f t="shared" si="12"/>
        <v>-</v>
      </c>
      <c r="H33" s="46" t="str">
        <f t="shared" si="13"/>
        <v>-</v>
      </c>
      <c r="I33" s="47" t="str">
        <f>IF(H33&lt;&gt;"-",H33*60/'計画数(10分毎)'!$I$2*80%,"-")</f>
        <v>-</v>
      </c>
      <c r="J33" s="46">
        <f>IF('計画数(10分毎)'!$M$3=A33,'計画数(10分毎)'!$P$3,0)</f>
        <v>0</v>
      </c>
      <c r="K33" s="46" t="str">
        <f t="shared" si="14"/>
        <v>-</v>
      </c>
      <c r="L33" s="46" t="str">
        <f t="shared" si="15"/>
        <v>-</v>
      </c>
      <c r="M33" s="47" t="str">
        <f>IF(L33&lt;&gt;"-",L33*60/'計画数(10分毎)'!$I$3*80%,"-")</f>
        <v>-</v>
      </c>
      <c r="N33" s="46">
        <f>IF('計画数(10分毎)'!$M$4=A33,'計画数(10分毎)'!$P$4,0)</f>
        <v>0</v>
      </c>
      <c r="O33" s="46" t="str">
        <f t="shared" si="16"/>
        <v>-</v>
      </c>
      <c r="P33" s="46" t="str">
        <f t="shared" si="17"/>
        <v>-</v>
      </c>
      <c r="Q33" s="47" t="str">
        <f>IF(P33&lt;&gt;"-",P33*60/'計画数(10分毎)'!$I$4*80%,"-")</f>
        <v>-</v>
      </c>
      <c r="R33" s="46">
        <f>IF('計画数(10分毎)'!$M$5=A33,'計画数(10分毎)'!$P$5,0)</f>
        <v>0</v>
      </c>
      <c r="S33" s="46" t="str">
        <f t="shared" si="18"/>
        <v>-</v>
      </c>
      <c r="T33" s="46" t="str">
        <f t="shared" si="19"/>
        <v>-</v>
      </c>
      <c r="U33" s="47" t="str">
        <f>IF(T33&lt;&gt;"-",T33*60/'計画数(10分毎)'!$I$5*80%,"-")</f>
        <v>-</v>
      </c>
      <c r="V33" s="46">
        <f>IF('計画数(10分毎)'!$M$6=A33,'計画数(10分毎)'!$P$6,0)</f>
        <v>0</v>
      </c>
      <c r="W33" s="46" t="str">
        <f t="shared" si="20"/>
        <v>-</v>
      </c>
      <c r="X33" s="46" t="str">
        <f t="shared" si="21"/>
        <v>-</v>
      </c>
      <c r="Y33" s="47" t="str">
        <f>IF(X33&lt;&gt;"-",X33*60/'計画数(10分毎)'!$I$6*80%,"-")</f>
        <v>-</v>
      </c>
      <c r="Z33" s="47" t="str">
        <f t="shared" si="22"/>
        <v>-</v>
      </c>
      <c r="AA33" s="47">
        <f t="shared" si="23"/>
        <v>0</v>
      </c>
      <c r="AB33" s="48"/>
      <c r="AC33" s="46"/>
      <c r="AD33" s="46"/>
      <c r="AE33" s="46"/>
      <c r="AF33" s="49"/>
    </row>
    <row r="34" spans="1:32" x14ac:dyDescent="0.3">
      <c r="A34" s="36">
        <v>27</v>
      </c>
      <c r="B34" s="81"/>
      <c r="C34" s="50">
        <v>0.47222222222222227</v>
      </c>
      <c r="D34" s="51"/>
      <c r="E34" s="52"/>
      <c r="F34" s="53">
        <f>IF('計画数(10分毎)'!$M$2=A34,'計画数(10分毎)'!$P$2,0)</f>
        <v>0</v>
      </c>
      <c r="G34" s="53" t="str">
        <f t="shared" si="12"/>
        <v>-</v>
      </c>
      <c r="H34" s="53" t="str">
        <f t="shared" si="13"/>
        <v>-</v>
      </c>
      <c r="I34" s="54" t="str">
        <f>IF(H34&lt;&gt;"-",H34*60/'計画数(10分毎)'!$I$2*80%,"-")</f>
        <v>-</v>
      </c>
      <c r="J34" s="53">
        <f>IF('計画数(10分毎)'!$M$3=A34,'計画数(10分毎)'!$P$3,0)</f>
        <v>0</v>
      </c>
      <c r="K34" s="53" t="str">
        <f t="shared" si="14"/>
        <v>-</v>
      </c>
      <c r="L34" s="53" t="str">
        <f t="shared" si="15"/>
        <v>-</v>
      </c>
      <c r="M34" s="54" t="str">
        <f>IF(L34&lt;&gt;"-",L34*60/'計画数(10分毎)'!$I$3*80%,"-")</f>
        <v>-</v>
      </c>
      <c r="N34" s="53">
        <f>IF('計画数(10分毎)'!$M$4=A34,'計画数(10分毎)'!$P$4,0)</f>
        <v>0</v>
      </c>
      <c r="O34" s="53" t="str">
        <f t="shared" si="16"/>
        <v>-</v>
      </c>
      <c r="P34" s="53" t="str">
        <f t="shared" si="17"/>
        <v>-</v>
      </c>
      <c r="Q34" s="54" t="str">
        <f>IF(P34&lt;&gt;"-",P34*60/'計画数(10分毎)'!$I$4*80%,"-")</f>
        <v>-</v>
      </c>
      <c r="R34" s="53">
        <f>IF('計画数(10分毎)'!$M$5=A34,'計画数(10分毎)'!$P$5,0)</f>
        <v>0</v>
      </c>
      <c r="S34" s="53" t="str">
        <f t="shared" si="18"/>
        <v>-</v>
      </c>
      <c r="T34" s="53" t="str">
        <f t="shared" si="19"/>
        <v>-</v>
      </c>
      <c r="U34" s="54" t="str">
        <f>IF(T34&lt;&gt;"-",T34*60/'計画数(10分毎)'!$I$5*80%,"-")</f>
        <v>-</v>
      </c>
      <c r="V34" s="53">
        <f>IF('計画数(10分毎)'!$M$6=A34,'計画数(10分毎)'!$P$6,0)</f>
        <v>0</v>
      </c>
      <c r="W34" s="53" t="str">
        <f t="shared" si="20"/>
        <v>-</v>
      </c>
      <c r="X34" s="53" t="str">
        <f t="shared" si="21"/>
        <v>-</v>
      </c>
      <c r="Y34" s="54" t="str">
        <f>IF(X34&lt;&gt;"-",X34*60/'計画数(10分毎)'!$I$6*80%,"-")</f>
        <v>-</v>
      </c>
      <c r="Z34" s="54" t="str">
        <f t="shared" si="22"/>
        <v>-</v>
      </c>
      <c r="AA34" s="54">
        <f t="shared" si="23"/>
        <v>0</v>
      </c>
      <c r="AB34" s="55"/>
      <c r="AC34" s="52"/>
      <c r="AD34" s="52"/>
      <c r="AE34" s="52"/>
      <c r="AF34" s="56"/>
    </row>
    <row r="35" spans="1:32" x14ac:dyDescent="0.3">
      <c r="A35" s="36">
        <v>28</v>
      </c>
      <c r="B35" s="81"/>
      <c r="C35" s="44">
        <v>0.47916666666666669</v>
      </c>
      <c r="D35" s="38"/>
      <c r="E35" s="40"/>
      <c r="F35" s="40">
        <f>IF('計画数(10分毎)'!$M$2=A35,'計画数(10分毎)'!$P$2,0)</f>
        <v>0</v>
      </c>
      <c r="G35" s="40" t="str">
        <f t="shared" si="12"/>
        <v>-</v>
      </c>
      <c r="H35" s="40" t="str">
        <f t="shared" si="13"/>
        <v>-</v>
      </c>
      <c r="I35" s="41" t="str">
        <f>IF(H35&lt;&gt;"-",H35*60/'計画数(10分毎)'!$I$2*80%,"-")</f>
        <v>-</v>
      </c>
      <c r="J35" s="40">
        <f>IF('計画数(10分毎)'!$M$3=A35,'計画数(10分毎)'!$P$3,0)</f>
        <v>0</v>
      </c>
      <c r="K35" s="40" t="str">
        <f t="shared" si="14"/>
        <v>-</v>
      </c>
      <c r="L35" s="40" t="str">
        <f t="shared" si="15"/>
        <v>-</v>
      </c>
      <c r="M35" s="41" t="str">
        <f>IF(L35&lt;&gt;"-",L35*60/'計画数(10分毎)'!$I$3*80%,"-")</f>
        <v>-</v>
      </c>
      <c r="N35" s="40">
        <f>IF('計画数(10分毎)'!$M$4=A35,'計画数(10分毎)'!$P$4,0)</f>
        <v>0</v>
      </c>
      <c r="O35" s="40" t="str">
        <f t="shared" si="16"/>
        <v>-</v>
      </c>
      <c r="P35" s="40" t="str">
        <f t="shared" si="17"/>
        <v>-</v>
      </c>
      <c r="Q35" s="41" t="str">
        <f>IF(P35&lt;&gt;"-",P35*60/'計画数(10分毎)'!$I$4*80%,"-")</f>
        <v>-</v>
      </c>
      <c r="R35" s="40">
        <f>IF('計画数(10分毎)'!$M$5=A35,'計画数(10分毎)'!$P$5,0)</f>
        <v>0</v>
      </c>
      <c r="S35" s="40" t="str">
        <f t="shared" si="18"/>
        <v>-</v>
      </c>
      <c r="T35" s="40" t="str">
        <f t="shared" si="19"/>
        <v>-</v>
      </c>
      <c r="U35" s="41" t="str">
        <f>IF(T35&lt;&gt;"-",T35*60/'計画数(10分毎)'!$I$5*80%,"-")</f>
        <v>-</v>
      </c>
      <c r="V35" s="40">
        <f>IF('計画数(10分毎)'!$M$6=A35,'計画数(10分毎)'!$P$6,0)</f>
        <v>0</v>
      </c>
      <c r="W35" s="40" t="str">
        <f t="shared" si="20"/>
        <v>-</v>
      </c>
      <c r="X35" s="40" t="str">
        <f t="shared" si="21"/>
        <v>-</v>
      </c>
      <c r="Y35" s="41" t="str">
        <f>IF(X35&lt;&gt;"-",X35*60/'計画数(10分毎)'!$I$6*80%,"-")</f>
        <v>-</v>
      </c>
      <c r="Z35" s="41" t="str">
        <f t="shared" si="22"/>
        <v>-</v>
      </c>
      <c r="AA35" s="41">
        <f t="shared" si="23"/>
        <v>0</v>
      </c>
      <c r="AB35" s="42"/>
      <c r="AC35" s="40"/>
      <c r="AD35" s="40"/>
      <c r="AE35" s="40"/>
      <c r="AF35" s="43"/>
    </row>
    <row r="36" spans="1:32" x14ac:dyDescent="0.3">
      <c r="A36" s="36">
        <v>29</v>
      </c>
      <c r="B36" s="81"/>
      <c r="C36" s="61">
        <v>0.4861111111111111</v>
      </c>
      <c r="D36" s="62" t="s">
        <v>11</v>
      </c>
      <c r="E36" s="46"/>
      <c r="F36" s="46">
        <f>IF('計画数(10分毎)'!$M$2=A36,'計画数(10分毎)'!$P$2,0)</f>
        <v>0</v>
      </c>
      <c r="G36" s="46" t="str">
        <f t="shared" si="12"/>
        <v>-</v>
      </c>
      <c r="H36" s="46" t="str">
        <f t="shared" si="13"/>
        <v>-</v>
      </c>
      <c r="I36" s="47" t="str">
        <f>IF(H36&lt;&gt;"-",H36*60/'計画数(10分毎)'!$I$2*80%,"-")</f>
        <v>-</v>
      </c>
      <c r="J36" s="46">
        <f>IF('計画数(10分毎)'!$M$3=A36,'計画数(10分毎)'!$P$3,0)</f>
        <v>0</v>
      </c>
      <c r="K36" s="46" t="str">
        <f t="shared" si="14"/>
        <v>-</v>
      </c>
      <c r="L36" s="46" t="str">
        <f t="shared" si="15"/>
        <v>-</v>
      </c>
      <c r="M36" s="47" t="str">
        <f>IF(L36&lt;&gt;"-",L36*60/'計画数(10分毎)'!$I$3*80%,"-")</f>
        <v>-</v>
      </c>
      <c r="N36" s="46">
        <f>IF('計画数(10分毎)'!$M$4=A36,'計画数(10分毎)'!$P$4,0)</f>
        <v>0</v>
      </c>
      <c r="O36" s="46" t="str">
        <f t="shared" si="16"/>
        <v>-</v>
      </c>
      <c r="P36" s="46" t="str">
        <f t="shared" si="17"/>
        <v>-</v>
      </c>
      <c r="Q36" s="47" t="str">
        <f>IF(P36&lt;&gt;"-",P36*60/'計画数(10分毎)'!$I$4*80%,"-")</f>
        <v>-</v>
      </c>
      <c r="R36" s="46">
        <f>IF('計画数(10分毎)'!$M$5=A36,'計画数(10分毎)'!$P$5,0)</f>
        <v>0</v>
      </c>
      <c r="S36" s="46" t="str">
        <f t="shared" si="18"/>
        <v>-</v>
      </c>
      <c r="T36" s="46" t="str">
        <f t="shared" si="19"/>
        <v>-</v>
      </c>
      <c r="U36" s="47" t="str">
        <f>IF(T36&lt;&gt;"-",T36*60/'計画数(10分毎)'!$I$5*80%,"-")</f>
        <v>-</v>
      </c>
      <c r="V36" s="46">
        <f>IF('計画数(10分毎)'!$M$6=A36,'計画数(10分毎)'!$P$6,0)</f>
        <v>0</v>
      </c>
      <c r="W36" s="46" t="str">
        <f t="shared" si="20"/>
        <v>-</v>
      </c>
      <c r="X36" s="46" t="str">
        <f t="shared" si="21"/>
        <v>-</v>
      </c>
      <c r="Y36" s="47" t="str">
        <f>IF(X36&lt;&gt;"-",X36*60/'計画数(10分毎)'!$I$6*80%,"-")</f>
        <v>-</v>
      </c>
      <c r="Z36" s="47" t="str">
        <f t="shared" si="22"/>
        <v>-</v>
      </c>
      <c r="AA36" s="47">
        <f t="shared" si="23"/>
        <v>0</v>
      </c>
      <c r="AB36" s="48"/>
      <c r="AC36" s="46"/>
      <c r="AD36" s="46"/>
      <c r="AE36" s="46"/>
      <c r="AF36" s="49"/>
    </row>
    <row r="37" spans="1:32" x14ac:dyDescent="0.3">
      <c r="A37" s="36">
        <v>30</v>
      </c>
      <c r="B37" s="82"/>
      <c r="C37" s="61">
        <v>0.49305555555555558</v>
      </c>
      <c r="D37" s="63" t="s">
        <v>11</v>
      </c>
      <c r="E37" s="52"/>
      <c r="F37" s="53">
        <f>IF('計画数(10分毎)'!$M$2=A37,'計画数(10分毎)'!$P$2,0)</f>
        <v>0</v>
      </c>
      <c r="G37" s="53" t="str">
        <f t="shared" si="12"/>
        <v>-</v>
      </c>
      <c r="H37" s="53" t="str">
        <f t="shared" si="13"/>
        <v>-</v>
      </c>
      <c r="I37" s="54" t="str">
        <f>IF(H37&lt;&gt;"-",H37*60/'計画数(10分毎)'!$I$2*80%,"-")</f>
        <v>-</v>
      </c>
      <c r="J37" s="53">
        <f>IF('計画数(10分毎)'!$M$3=A37,'計画数(10分毎)'!$P$3,0)</f>
        <v>0</v>
      </c>
      <c r="K37" s="53" t="str">
        <f t="shared" si="14"/>
        <v>-</v>
      </c>
      <c r="L37" s="53" t="str">
        <f t="shared" si="15"/>
        <v>-</v>
      </c>
      <c r="M37" s="54" t="str">
        <f>IF(L37&lt;&gt;"-",L37*60/'計画数(10分毎)'!$I$3*80%,"-")</f>
        <v>-</v>
      </c>
      <c r="N37" s="53">
        <f>IF('計画数(10分毎)'!$M$4=A37,'計画数(10分毎)'!$P$4,0)</f>
        <v>0</v>
      </c>
      <c r="O37" s="53" t="str">
        <f t="shared" si="16"/>
        <v>-</v>
      </c>
      <c r="P37" s="53" t="str">
        <f t="shared" si="17"/>
        <v>-</v>
      </c>
      <c r="Q37" s="54" t="str">
        <f>IF(P37&lt;&gt;"-",P37*60/'計画数(10分毎)'!$I$4*80%,"-")</f>
        <v>-</v>
      </c>
      <c r="R37" s="53">
        <f>IF('計画数(10分毎)'!$M$5=A37,'計画数(10分毎)'!$P$5,0)</f>
        <v>0</v>
      </c>
      <c r="S37" s="53" t="str">
        <f t="shared" si="18"/>
        <v>-</v>
      </c>
      <c r="T37" s="53" t="str">
        <f t="shared" si="19"/>
        <v>-</v>
      </c>
      <c r="U37" s="54" t="str">
        <f>IF(T37&lt;&gt;"-",T37*60/'計画数(10分毎)'!$I$5*80%,"-")</f>
        <v>-</v>
      </c>
      <c r="V37" s="53">
        <f>IF('計画数(10分毎)'!$M$6=A37,'計画数(10分毎)'!$P$6,0)</f>
        <v>0</v>
      </c>
      <c r="W37" s="53" t="str">
        <f t="shared" si="20"/>
        <v>-</v>
      </c>
      <c r="X37" s="53" t="str">
        <f t="shared" si="21"/>
        <v>-</v>
      </c>
      <c r="Y37" s="54" t="str">
        <f>IF(X37&lt;&gt;"-",X37*60/'計画数(10分毎)'!$I$6*80%,"-")</f>
        <v>-</v>
      </c>
      <c r="Z37" s="54" t="str">
        <f t="shared" si="22"/>
        <v>-</v>
      </c>
      <c r="AA37" s="54">
        <f t="shared" si="23"/>
        <v>0</v>
      </c>
      <c r="AB37" s="55"/>
      <c r="AC37" s="52"/>
      <c r="AD37" s="52"/>
      <c r="AE37" s="52"/>
      <c r="AF37" s="56"/>
    </row>
    <row r="38" spans="1:32" x14ac:dyDescent="0.3">
      <c r="A38" s="36">
        <v>31</v>
      </c>
      <c r="B38" s="80">
        <v>0.5</v>
      </c>
      <c r="C38" s="64">
        <v>0.5</v>
      </c>
      <c r="D38" s="65" t="s">
        <v>11</v>
      </c>
      <c r="E38" s="40"/>
      <c r="F38" s="40">
        <f>IF('計画数(10分毎)'!$M$2=A38,'計画数(10分毎)'!$P$2,0)</f>
        <v>0</v>
      </c>
      <c r="G38" s="40" t="str">
        <f t="shared" si="12"/>
        <v>-</v>
      </c>
      <c r="H38" s="40" t="str">
        <f t="shared" si="13"/>
        <v>-</v>
      </c>
      <c r="I38" s="41" t="str">
        <f>IF(H38&lt;&gt;"-",H38*60/'計画数(10分毎)'!$I$2*80%,"-")</f>
        <v>-</v>
      </c>
      <c r="J38" s="40">
        <f>IF('計画数(10分毎)'!$M$3=A38,'計画数(10分毎)'!$P$3,0)</f>
        <v>0</v>
      </c>
      <c r="K38" s="40" t="str">
        <f t="shared" si="14"/>
        <v>-</v>
      </c>
      <c r="L38" s="40" t="str">
        <f t="shared" si="15"/>
        <v>-</v>
      </c>
      <c r="M38" s="41" t="str">
        <f>IF(L38&lt;&gt;"-",L38*60/'計画数(10分毎)'!$I$3*80%,"-")</f>
        <v>-</v>
      </c>
      <c r="N38" s="40">
        <f>IF('計画数(10分毎)'!$M$4=A38,'計画数(10分毎)'!$P$4,0)</f>
        <v>0</v>
      </c>
      <c r="O38" s="40" t="str">
        <f t="shared" si="16"/>
        <v>-</v>
      </c>
      <c r="P38" s="40" t="str">
        <f t="shared" si="17"/>
        <v>-</v>
      </c>
      <c r="Q38" s="41" t="str">
        <f>IF(P38&lt;&gt;"-",P38*60/'計画数(10分毎)'!$I$4*80%,"-")</f>
        <v>-</v>
      </c>
      <c r="R38" s="40">
        <f>IF('計画数(10分毎)'!$M$5=A38,'計画数(10分毎)'!$P$5,0)</f>
        <v>0</v>
      </c>
      <c r="S38" s="40" t="str">
        <f t="shared" si="18"/>
        <v>-</v>
      </c>
      <c r="T38" s="40" t="str">
        <f t="shared" si="19"/>
        <v>-</v>
      </c>
      <c r="U38" s="41" t="str">
        <f>IF(T38&lt;&gt;"-",T38*60/'計画数(10分毎)'!$I$5*80%,"-")</f>
        <v>-</v>
      </c>
      <c r="V38" s="40">
        <f>IF('計画数(10分毎)'!$M$6=A38,'計画数(10分毎)'!$P$6,0)</f>
        <v>0</v>
      </c>
      <c r="W38" s="40" t="str">
        <f t="shared" si="20"/>
        <v>-</v>
      </c>
      <c r="X38" s="40" t="str">
        <f t="shared" si="21"/>
        <v>-</v>
      </c>
      <c r="Y38" s="41" t="str">
        <f>IF(X38&lt;&gt;"-",X38*60/'計画数(10分毎)'!$I$6*80%,"-")</f>
        <v>-</v>
      </c>
      <c r="Z38" s="41" t="str">
        <f t="shared" si="22"/>
        <v>-</v>
      </c>
      <c r="AA38" s="41">
        <f t="shared" si="23"/>
        <v>0</v>
      </c>
      <c r="AB38" s="42"/>
      <c r="AC38" s="40"/>
      <c r="AD38" s="40"/>
      <c r="AE38" s="40"/>
      <c r="AF38" s="43"/>
    </row>
    <row r="39" spans="1:32" x14ac:dyDescent="0.3">
      <c r="A39" s="36">
        <v>32</v>
      </c>
      <c r="B39" s="81"/>
      <c r="C39" s="61">
        <v>0.50694444444444442</v>
      </c>
      <c r="D39" s="62" t="s">
        <v>11</v>
      </c>
      <c r="E39" s="46"/>
      <c r="F39" s="46">
        <f>IF('計画数(10分毎)'!$M$2=A39,'計画数(10分毎)'!$P$2,0)</f>
        <v>0</v>
      </c>
      <c r="G39" s="46" t="str">
        <f t="shared" si="12"/>
        <v>-</v>
      </c>
      <c r="H39" s="46" t="str">
        <f t="shared" si="13"/>
        <v>-</v>
      </c>
      <c r="I39" s="47" t="str">
        <f>IF(H39&lt;&gt;"-",H39*60/'計画数(10分毎)'!$I$2*80%,"-")</f>
        <v>-</v>
      </c>
      <c r="J39" s="46">
        <f>IF('計画数(10分毎)'!$M$3=A39,'計画数(10分毎)'!$P$3,0)</f>
        <v>0</v>
      </c>
      <c r="K39" s="46" t="str">
        <f t="shared" si="14"/>
        <v>-</v>
      </c>
      <c r="L39" s="46" t="str">
        <f t="shared" si="15"/>
        <v>-</v>
      </c>
      <c r="M39" s="47" t="str">
        <f>IF(L39&lt;&gt;"-",L39*60/'計画数(10分毎)'!$I$3*80%,"-")</f>
        <v>-</v>
      </c>
      <c r="N39" s="46">
        <f>IF('計画数(10分毎)'!$M$4=A39,'計画数(10分毎)'!$P$4,0)</f>
        <v>0</v>
      </c>
      <c r="O39" s="46" t="str">
        <f t="shared" si="16"/>
        <v>-</v>
      </c>
      <c r="P39" s="46" t="str">
        <f t="shared" si="17"/>
        <v>-</v>
      </c>
      <c r="Q39" s="47" t="str">
        <f>IF(P39&lt;&gt;"-",P39*60/'計画数(10分毎)'!$I$4*80%,"-")</f>
        <v>-</v>
      </c>
      <c r="R39" s="46">
        <f>IF('計画数(10分毎)'!$M$5=A39,'計画数(10分毎)'!$P$5,0)</f>
        <v>0</v>
      </c>
      <c r="S39" s="46" t="str">
        <f t="shared" si="18"/>
        <v>-</v>
      </c>
      <c r="T39" s="46" t="str">
        <f t="shared" si="19"/>
        <v>-</v>
      </c>
      <c r="U39" s="47" t="str">
        <f>IF(T39&lt;&gt;"-",T39*60/'計画数(10分毎)'!$I$5*80%,"-")</f>
        <v>-</v>
      </c>
      <c r="V39" s="46">
        <f>IF('計画数(10分毎)'!$M$6=A39,'計画数(10分毎)'!$P$6,0)</f>
        <v>0</v>
      </c>
      <c r="W39" s="46" t="str">
        <f t="shared" si="20"/>
        <v>-</v>
      </c>
      <c r="X39" s="46" t="str">
        <f t="shared" si="21"/>
        <v>-</v>
      </c>
      <c r="Y39" s="47" t="str">
        <f>IF(X39&lt;&gt;"-",X39*60/'計画数(10分毎)'!$I$6*80%,"-")</f>
        <v>-</v>
      </c>
      <c r="Z39" s="47" t="str">
        <f t="shared" si="22"/>
        <v>-</v>
      </c>
      <c r="AA39" s="47">
        <f t="shared" si="23"/>
        <v>0</v>
      </c>
      <c r="AB39" s="48"/>
      <c r="AC39" s="46">
        <v>65</v>
      </c>
      <c r="AD39" s="46"/>
      <c r="AE39" s="46"/>
      <c r="AF39" s="49"/>
    </row>
    <row r="40" spans="1:32" x14ac:dyDescent="0.3">
      <c r="A40" s="36">
        <v>33</v>
      </c>
      <c r="B40" s="81"/>
      <c r="C40" s="50">
        <v>0.51388888888888895</v>
      </c>
      <c r="D40" s="51"/>
      <c r="E40" s="52"/>
      <c r="F40" s="53">
        <f>IF('計画数(10分毎)'!$M$2=A40,'計画数(10分毎)'!$P$2,0)</f>
        <v>0</v>
      </c>
      <c r="G40" s="53" t="str">
        <f t="shared" si="12"/>
        <v>-</v>
      </c>
      <c r="H40" s="53" t="str">
        <f t="shared" si="13"/>
        <v>-</v>
      </c>
      <c r="I40" s="54" t="str">
        <f>IF(H40&lt;&gt;"-",H40*60/'計画数(10分毎)'!$I$2*80%,"-")</f>
        <v>-</v>
      </c>
      <c r="J40" s="53">
        <f>IF('計画数(10分毎)'!$M$3=A40,'計画数(10分毎)'!$P$3,0)</f>
        <v>0</v>
      </c>
      <c r="K40" s="53" t="str">
        <f t="shared" si="14"/>
        <v>-</v>
      </c>
      <c r="L40" s="53" t="str">
        <f t="shared" si="15"/>
        <v>-</v>
      </c>
      <c r="M40" s="54" t="str">
        <f>IF(L40&lt;&gt;"-",L40*60/'計画数(10分毎)'!$I$3*80%,"-")</f>
        <v>-</v>
      </c>
      <c r="N40" s="53">
        <f>IF('計画数(10分毎)'!$M$4=A40,'計画数(10分毎)'!$P$4,0)</f>
        <v>0</v>
      </c>
      <c r="O40" s="53" t="str">
        <f t="shared" si="16"/>
        <v>-</v>
      </c>
      <c r="P40" s="53" t="str">
        <f t="shared" si="17"/>
        <v>-</v>
      </c>
      <c r="Q40" s="54" t="str">
        <f>IF(P40&lt;&gt;"-",P40*60/'計画数(10分毎)'!$I$4*80%,"-")</f>
        <v>-</v>
      </c>
      <c r="R40" s="53">
        <f>IF('計画数(10分毎)'!$M$5=A40,'計画数(10分毎)'!$P$5,0)</f>
        <v>0</v>
      </c>
      <c r="S40" s="53" t="str">
        <f t="shared" si="18"/>
        <v>-</v>
      </c>
      <c r="T40" s="53" t="str">
        <f t="shared" si="19"/>
        <v>-</v>
      </c>
      <c r="U40" s="54" t="str">
        <f>IF(T40&lt;&gt;"-",T40*60/'計画数(10分毎)'!$I$5*80%,"-")</f>
        <v>-</v>
      </c>
      <c r="V40" s="53">
        <f>IF('計画数(10分毎)'!$M$6=A40,'計画数(10分毎)'!$P$6,0)</f>
        <v>0</v>
      </c>
      <c r="W40" s="53" t="str">
        <f t="shared" si="20"/>
        <v>-</v>
      </c>
      <c r="X40" s="53" t="str">
        <f t="shared" si="21"/>
        <v>-</v>
      </c>
      <c r="Y40" s="54" t="str">
        <f>IF(X40&lt;&gt;"-",X40*60/'計画数(10分毎)'!$I$6*80%,"-")</f>
        <v>-</v>
      </c>
      <c r="Z40" s="54" t="str">
        <f t="shared" si="22"/>
        <v>-</v>
      </c>
      <c r="AA40" s="54">
        <f t="shared" si="23"/>
        <v>0</v>
      </c>
      <c r="AB40" s="55"/>
      <c r="AC40" s="52"/>
      <c r="AD40" s="52"/>
      <c r="AE40" s="52"/>
      <c r="AF40" s="56"/>
    </row>
    <row r="41" spans="1:32" x14ac:dyDescent="0.3">
      <c r="A41" s="36">
        <v>34</v>
      </c>
      <c r="B41" s="81"/>
      <c r="C41" s="44">
        <v>0.52083333333333337</v>
      </c>
      <c r="D41" s="38"/>
      <c r="E41" s="40"/>
      <c r="F41" s="40">
        <f>IF('計画数(10分毎)'!$M$2=A41,'計画数(10分毎)'!$P$2,0)</f>
        <v>0</v>
      </c>
      <c r="G41" s="40" t="str">
        <f t="shared" si="12"/>
        <v>-</v>
      </c>
      <c r="H41" s="40" t="str">
        <f t="shared" si="13"/>
        <v>-</v>
      </c>
      <c r="I41" s="41" t="str">
        <f>IF(H41&lt;&gt;"-",H41*60/'計画数(10分毎)'!$I$2*80%,"-")</f>
        <v>-</v>
      </c>
      <c r="J41" s="40">
        <f>IF('計画数(10分毎)'!$M$3=A41,'計画数(10分毎)'!$P$3,0)</f>
        <v>0</v>
      </c>
      <c r="K41" s="40" t="str">
        <f t="shared" si="14"/>
        <v>-</v>
      </c>
      <c r="L41" s="40" t="str">
        <f t="shared" si="15"/>
        <v>-</v>
      </c>
      <c r="M41" s="41" t="str">
        <f>IF(L41&lt;&gt;"-",L41*60/'計画数(10分毎)'!$I$3*80%,"-")</f>
        <v>-</v>
      </c>
      <c r="N41" s="40">
        <f>IF('計画数(10分毎)'!$M$4=A41,'計画数(10分毎)'!$P$4,0)</f>
        <v>0</v>
      </c>
      <c r="O41" s="40" t="str">
        <f t="shared" si="16"/>
        <v>-</v>
      </c>
      <c r="P41" s="40" t="str">
        <f t="shared" si="17"/>
        <v>-</v>
      </c>
      <c r="Q41" s="41" t="str">
        <f>IF(P41&lt;&gt;"-",P41*60/'計画数(10分毎)'!$I$4*80%,"-")</f>
        <v>-</v>
      </c>
      <c r="R41" s="40">
        <f>IF('計画数(10分毎)'!$M$5=A41,'計画数(10分毎)'!$P$5,0)</f>
        <v>0</v>
      </c>
      <c r="S41" s="40" t="str">
        <f t="shared" si="18"/>
        <v>-</v>
      </c>
      <c r="T41" s="40" t="str">
        <f t="shared" si="19"/>
        <v>-</v>
      </c>
      <c r="U41" s="41" t="str">
        <f>IF(T41&lt;&gt;"-",T41*60/'計画数(10分毎)'!$I$5*80%,"-")</f>
        <v>-</v>
      </c>
      <c r="V41" s="40">
        <f>IF('計画数(10分毎)'!$M$6=A41,'計画数(10分毎)'!$P$6,0)</f>
        <v>0</v>
      </c>
      <c r="W41" s="40" t="str">
        <f t="shared" si="20"/>
        <v>-</v>
      </c>
      <c r="X41" s="40" t="str">
        <f t="shared" si="21"/>
        <v>-</v>
      </c>
      <c r="Y41" s="41" t="str">
        <f>IF(X41&lt;&gt;"-",X41*60/'計画数(10分毎)'!$I$6*80%,"-")</f>
        <v>-</v>
      </c>
      <c r="Z41" s="41" t="str">
        <f t="shared" si="22"/>
        <v>-</v>
      </c>
      <c r="AA41" s="41">
        <f t="shared" si="23"/>
        <v>0</v>
      </c>
      <c r="AB41" s="42"/>
      <c r="AC41" s="40"/>
      <c r="AD41" s="40"/>
      <c r="AE41" s="40"/>
      <c r="AF41" s="43"/>
    </row>
    <row r="42" spans="1:32" x14ac:dyDescent="0.3">
      <c r="A42" s="36">
        <v>35</v>
      </c>
      <c r="B42" s="81"/>
      <c r="C42" s="44">
        <v>0.52777777777777779</v>
      </c>
      <c r="D42" s="45"/>
      <c r="E42" s="46"/>
      <c r="F42" s="46">
        <f>IF('計画数(10分毎)'!$M$2=A42,'計画数(10分毎)'!$P$2,0)</f>
        <v>0</v>
      </c>
      <c r="G42" s="46" t="str">
        <f t="shared" si="12"/>
        <v>-</v>
      </c>
      <c r="H42" s="46" t="str">
        <f t="shared" si="13"/>
        <v>-</v>
      </c>
      <c r="I42" s="47" t="str">
        <f>IF(H42&lt;&gt;"-",H42*60/'計画数(10分毎)'!$I$2*80%,"-")</f>
        <v>-</v>
      </c>
      <c r="J42" s="46">
        <f>IF('計画数(10分毎)'!$M$3=A42,'計画数(10分毎)'!$P$3,0)</f>
        <v>0</v>
      </c>
      <c r="K42" s="46" t="str">
        <f t="shared" si="14"/>
        <v>-</v>
      </c>
      <c r="L42" s="46" t="str">
        <f t="shared" si="15"/>
        <v>-</v>
      </c>
      <c r="M42" s="47" t="str">
        <f>IF(L42&lt;&gt;"-",L42*60/'計画数(10分毎)'!$I$3*80%,"-")</f>
        <v>-</v>
      </c>
      <c r="N42" s="46">
        <f>IF('計画数(10分毎)'!$M$4=A42,'計画数(10分毎)'!$P$4,0)</f>
        <v>0</v>
      </c>
      <c r="O42" s="46" t="str">
        <f t="shared" si="16"/>
        <v>-</v>
      </c>
      <c r="P42" s="46" t="str">
        <f t="shared" si="17"/>
        <v>-</v>
      </c>
      <c r="Q42" s="47" t="str">
        <f>IF(P42&lt;&gt;"-",P42*60/'計画数(10分毎)'!$I$4*80%,"-")</f>
        <v>-</v>
      </c>
      <c r="R42" s="46">
        <f>IF('計画数(10分毎)'!$M$5=A42,'計画数(10分毎)'!$P$5,0)</f>
        <v>0</v>
      </c>
      <c r="S42" s="46" t="str">
        <f t="shared" si="18"/>
        <v>-</v>
      </c>
      <c r="T42" s="46" t="str">
        <f t="shared" si="19"/>
        <v>-</v>
      </c>
      <c r="U42" s="47" t="str">
        <f>IF(T42&lt;&gt;"-",T42*60/'計画数(10分毎)'!$I$5*80%,"-")</f>
        <v>-</v>
      </c>
      <c r="V42" s="46">
        <f>IF('計画数(10分毎)'!$M$6=A42,'計画数(10分毎)'!$P$6,0)</f>
        <v>0</v>
      </c>
      <c r="W42" s="46" t="str">
        <f t="shared" si="20"/>
        <v>-</v>
      </c>
      <c r="X42" s="46" t="str">
        <f t="shared" si="21"/>
        <v>-</v>
      </c>
      <c r="Y42" s="47" t="str">
        <f>IF(X42&lt;&gt;"-",X42*60/'計画数(10分毎)'!$I$6*80%,"-")</f>
        <v>-</v>
      </c>
      <c r="Z42" s="47" t="str">
        <f t="shared" si="22"/>
        <v>-</v>
      </c>
      <c r="AA42" s="47">
        <f t="shared" si="23"/>
        <v>0</v>
      </c>
      <c r="AB42" s="48"/>
      <c r="AC42" s="46"/>
      <c r="AD42" s="46"/>
      <c r="AE42" s="46"/>
      <c r="AF42" s="49"/>
    </row>
    <row r="43" spans="1:32" x14ac:dyDescent="0.3">
      <c r="A43" s="36">
        <v>36</v>
      </c>
      <c r="B43" s="82"/>
      <c r="C43" s="44">
        <v>0.53472222222222221</v>
      </c>
      <c r="D43" s="59"/>
      <c r="E43" s="52"/>
      <c r="F43" s="53">
        <f>IF('計画数(10分毎)'!$M$2=A43,'計画数(10分毎)'!$P$2,0)</f>
        <v>0</v>
      </c>
      <c r="G43" s="53" t="str">
        <f t="shared" si="12"/>
        <v>-</v>
      </c>
      <c r="H43" s="53" t="str">
        <f t="shared" si="13"/>
        <v>-</v>
      </c>
      <c r="I43" s="54" t="str">
        <f>IF(H43&lt;&gt;"-",H43*60/'計画数(10分毎)'!$I$2*80%,"-")</f>
        <v>-</v>
      </c>
      <c r="J43" s="53">
        <f>IF('計画数(10分毎)'!$M$3=A43,'計画数(10分毎)'!$P$3,0)</f>
        <v>0</v>
      </c>
      <c r="K43" s="53" t="str">
        <f t="shared" si="14"/>
        <v>-</v>
      </c>
      <c r="L43" s="53" t="str">
        <f t="shared" si="15"/>
        <v>-</v>
      </c>
      <c r="M43" s="54" t="str">
        <f>IF(L43&lt;&gt;"-",L43*60/'計画数(10分毎)'!$I$3*80%,"-")</f>
        <v>-</v>
      </c>
      <c r="N43" s="53">
        <f>IF('計画数(10分毎)'!$M$4=A43,'計画数(10分毎)'!$P$4,0)</f>
        <v>0</v>
      </c>
      <c r="O43" s="53" t="str">
        <f t="shared" si="16"/>
        <v>-</v>
      </c>
      <c r="P43" s="53" t="str">
        <f t="shared" si="17"/>
        <v>-</v>
      </c>
      <c r="Q43" s="54" t="str">
        <f>IF(P43&lt;&gt;"-",P43*60/'計画数(10分毎)'!$I$4*80%,"-")</f>
        <v>-</v>
      </c>
      <c r="R43" s="53">
        <f>IF('計画数(10分毎)'!$M$5=A43,'計画数(10分毎)'!$P$5,0)</f>
        <v>0</v>
      </c>
      <c r="S43" s="53" t="str">
        <f t="shared" si="18"/>
        <v>-</v>
      </c>
      <c r="T43" s="53" t="str">
        <f t="shared" si="19"/>
        <v>-</v>
      </c>
      <c r="U43" s="54" t="str">
        <f>IF(T43&lt;&gt;"-",T43*60/'計画数(10分毎)'!$I$5*80%,"-")</f>
        <v>-</v>
      </c>
      <c r="V43" s="53">
        <f>IF('計画数(10分毎)'!$M$6=A43,'計画数(10分毎)'!$P$6,0)</f>
        <v>0</v>
      </c>
      <c r="W43" s="53" t="str">
        <f t="shared" si="20"/>
        <v>-</v>
      </c>
      <c r="X43" s="53" t="str">
        <f t="shared" si="21"/>
        <v>-</v>
      </c>
      <c r="Y43" s="54" t="str">
        <f>IF(X43&lt;&gt;"-",X43*60/'計画数(10分毎)'!$I$6*80%,"-")</f>
        <v>-</v>
      </c>
      <c r="Z43" s="54" t="str">
        <f t="shared" si="22"/>
        <v>-</v>
      </c>
      <c r="AA43" s="54">
        <f t="shared" si="23"/>
        <v>0</v>
      </c>
      <c r="AB43" s="55"/>
      <c r="AC43" s="52"/>
      <c r="AD43" s="52"/>
      <c r="AE43" s="52"/>
      <c r="AF43" s="56"/>
    </row>
    <row r="44" spans="1:32" x14ac:dyDescent="0.3">
      <c r="A44" s="36">
        <v>37</v>
      </c>
      <c r="B44" s="80">
        <v>0.54166666666666696</v>
      </c>
      <c r="C44" s="37">
        <v>0.54166666666666663</v>
      </c>
      <c r="D44" s="60"/>
      <c r="E44" s="40"/>
      <c r="F44" s="40">
        <f>IF('計画数(10分毎)'!$M$2=A44,'計画数(10分毎)'!$P$2,0)</f>
        <v>0</v>
      </c>
      <c r="G44" s="40" t="str">
        <f t="shared" si="12"/>
        <v>-</v>
      </c>
      <c r="H44" s="40" t="str">
        <f t="shared" si="13"/>
        <v>-</v>
      </c>
      <c r="I44" s="41" t="str">
        <f>IF(H44&lt;&gt;"-",H44*60/'計画数(10分毎)'!$I$2*80%,"-")</f>
        <v>-</v>
      </c>
      <c r="J44" s="40">
        <f>IF('計画数(10分毎)'!$M$3=A44,'計画数(10分毎)'!$P$3,0)</f>
        <v>0</v>
      </c>
      <c r="K44" s="40" t="str">
        <f t="shared" si="14"/>
        <v>-</v>
      </c>
      <c r="L44" s="40" t="str">
        <f t="shared" si="15"/>
        <v>-</v>
      </c>
      <c r="M44" s="41" t="str">
        <f>IF(L44&lt;&gt;"-",L44*60/'計画数(10分毎)'!$I$3*80%,"-")</f>
        <v>-</v>
      </c>
      <c r="N44" s="40">
        <f>IF('計画数(10分毎)'!$M$4=A44,'計画数(10分毎)'!$P$4,0)</f>
        <v>0</v>
      </c>
      <c r="O44" s="40" t="str">
        <f t="shared" si="16"/>
        <v>-</v>
      </c>
      <c r="P44" s="40" t="str">
        <f t="shared" si="17"/>
        <v>-</v>
      </c>
      <c r="Q44" s="41" t="str">
        <f>IF(P44&lt;&gt;"-",P44*60/'計画数(10分毎)'!$I$4*80%,"-")</f>
        <v>-</v>
      </c>
      <c r="R44" s="40">
        <f>IF('計画数(10分毎)'!$M$5=A44,'計画数(10分毎)'!$P$5,0)</f>
        <v>0</v>
      </c>
      <c r="S44" s="40" t="str">
        <f t="shared" si="18"/>
        <v>-</v>
      </c>
      <c r="T44" s="40" t="str">
        <f t="shared" si="19"/>
        <v>-</v>
      </c>
      <c r="U44" s="41" t="str">
        <f>IF(T44&lt;&gt;"-",T44*60/'計画数(10分毎)'!$I$5*80%,"-")</f>
        <v>-</v>
      </c>
      <c r="V44" s="40">
        <f>IF('計画数(10分毎)'!$M$6=A44,'計画数(10分毎)'!$P$6,0)</f>
        <v>0</v>
      </c>
      <c r="W44" s="40" t="str">
        <f t="shared" si="20"/>
        <v>-</v>
      </c>
      <c r="X44" s="40" t="str">
        <f t="shared" si="21"/>
        <v>-</v>
      </c>
      <c r="Y44" s="41" t="str">
        <f>IF(X44&lt;&gt;"-",X44*60/'計画数(10分毎)'!$I$6*80%,"-")</f>
        <v>-</v>
      </c>
      <c r="Z44" s="41" t="str">
        <f t="shared" si="22"/>
        <v>-</v>
      </c>
      <c r="AA44" s="41">
        <f t="shared" si="23"/>
        <v>0</v>
      </c>
      <c r="AB44" s="42"/>
      <c r="AC44" s="40"/>
      <c r="AD44" s="40"/>
      <c r="AE44" s="40"/>
      <c r="AF44" s="43"/>
    </row>
    <row r="45" spans="1:32" x14ac:dyDescent="0.3">
      <c r="A45" s="36">
        <v>38</v>
      </c>
      <c r="B45" s="81"/>
      <c r="C45" s="44">
        <v>0.54861111111111105</v>
      </c>
      <c r="D45" s="45"/>
      <c r="E45" s="46"/>
      <c r="F45" s="46">
        <f>IF('計画数(10分毎)'!$M$2=A45,'計画数(10分毎)'!$P$2,0)</f>
        <v>0</v>
      </c>
      <c r="G45" s="46" t="str">
        <f t="shared" si="12"/>
        <v>-</v>
      </c>
      <c r="H45" s="46" t="str">
        <f t="shared" si="13"/>
        <v>-</v>
      </c>
      <c r="I45" s="47" t="str">
        <f>IF(H45&lt;&gt;"-",H45*60/'計画数(10分毎)'!$I$2*80%,"-")</f>
        <v>-</v>
      </c>
      <c r="J45" s="46">
        <f>IF('計画数(10分毎)'!$M$3=A45,'計画数(10分毎)'!$P$3,0)</f>
        <v>0</v>
      </c>
      <c r="K45" s="46" t="str">
        <f t="shared" si="14"/>
        <v>-</v>
      </c>
      <c r="L45" s="46" t="str">
        <f t="shared" si="15"/>
        <v>-</v>
      </c>
      <c r="M45" s="47" t="str">
        <f>IF(L45&lt;&gt;"-",L45*60/'計画数(10分毎)'!$I$3*80%,"-")</f>
        <v>-</v>
      </c>
      <c r="N45" s="46">
        <f>IF('計画数(10分毎)'!$M$4=A45,'計画数(10分毎)'!$P$4,0)</f>
        <v>0</v>
      </c>
      <c r="O45" s="46" t="str">
        <f t="shared" si="16"/>
        <v>-</v>
      </c>
      <c r="P45" s="46" t="str">
        <f t="shared" si="17"/>
        <v>-</v>
      </c>
      <c r="Q45" s="47" t="str">
        <f>IF(P45&lt;&gt;"-",P45*60/'計画数(10分毎)'!$I$4*80%,"-")</f>
        <v>-</v>
      </c>
      <c r="R45" s="46">
        <f>IF('計画数(10分毎)'!$M$5=A45,'計画数(10分毎)'!$P$5,0)</f>
        <v>0</v>
      </c>
      <c r="S45" s="46" t="str">
        <f t="shared" si="18"/>
        <v>-</v>
      </c>
      <c r="T45" s="46" t="str">
        <f t="shared" si="19"/>
        <v>-</v>
      </c>
      <c r="U45" s="47" t="str">
        <f>IF(T45&lt;&gt;"-",T45*60/'計画数(10分毎)'!$I$5*80%,"-")</f>
        <v>-</v>
      </c>
      <c r="V45" s="46">
        <f>IF('計画数(10分毎)'!$M$6=A45,'計画数(10分毎)'!$P$6,0)</f>
        <v>0</v>
      </c>
      <c r="W45" s="46" t="str">
        <f t="shared" si="20"/>
        <v>-</v>
      </c>
      <c r="X45" s="46" t="str">
        <f t="shared" si="21"/>
        <v>-</v>
      </c>
      <c r="Y45" s="47" t="str">
        <f>IF(X45&lt;&gt;"-",X45*60/'計画数(10分毎)'!$I$6*80%,"-")</f>
        <v>-</v>
      </c>
      <c r="Z45" s="47" t="str">
        <f t="shared" si="22"/>
        <v>-</v>
      </c>
      <c r="AA45" s="47">
        <f t="shared" si="23"/>
        <v>0</v>
      </c>
      <c r="AB45" s="48"/>
      <c r="AC45" s="46"/>
      <c r="AD45" s="46"/>
      <c r="AE45" s="46"/>
      <c r="AF45" s="49"/>
    </row>
    <row r="46" spans="1:32" x14ac:dyDescent="0.3">
      <c r="A46" s="36">
        <v>39</v>
      </c>
      <c r="B46" s="81"/>
      <c r="C46" s="50">
        <v>0.55555555555555558</v>
      </c>
      <c r="D46" s="51"/>
      <c r="E46" s="52"/>
      <c r="F46" s="53">
        <f>IF('計画数(10分毎)'!$M$2=A46,'計画数(10分毎)'!$P$2,0)</f>
        <v>0</v>
      </c>
      <c r="G46" s="53" t="str">
        <f t="shared" si="12"/>
        <v>-</v>
      </c>
      <c r="H46" s="53" t="str">
        <f t="shared" si="13"/>
        <v>-</v>
      </c>
      <c r="I46" s="54" t="str">
        <f>IF(H46&lt;&gt;"-",H46*60/'計画数(10分毎)'!$I$2*80%,"-")</f>
        <v>-</v>
      </c>
      <c r="J46" s="53">
        <f>IF('計画数(10分毎)'!$M$3=A46,'計画数(10分毎)'!$P$3,0)</f>
        <v>0</v>
      </c>
      <c r="K46" s="53" t="str">
        <f t="shared" si="14"/>
        <v>-</v>
      </c>
      <c r="L46" s="53" t="str">
        <f t="shared" si="15"/>
        <v>-</v>
      </c>
      <c r="M46" s="54" t="str">
        <f>IF(L46&lt;&gt;"-",L46*60/'計画数(10分毎)'!$I$3*80%,"-")</f>
        <v>-</v>
      </c>
      <c r="N46" s="53">
        <f>IF('計画数(10分毎)'!$M$4=A46,'計画数(10分毎)'!$P$4,0)</f>
        <v>0</v>
      </c>
      <c r="O46" s="53" t="str">
        <f t="shared" si="16"/>
        <v>-</v>
      </c>
      <c r="P46" s="53" t="str">
        <f t="shared" si="17"/>
        <v>-</v>
      </c>
      <c r="Q46" s="54" t="str">
        <f>IF(P46&lt;&gt;"-",P46*60/'計画数(10分毎)'!$I$4*80%,"-")</f>
        <v>-</v>
      </c>
      <c r="R46" s="53">
        <f>IF('計画数(10分毎)'!$M$5=A46,'計画数(10分毎)'!$P$5,0)</f>
        <v>0</v>
      </c>
      <c r="S46" s="53" t="str">
        <f t="shared" si="18"/>
        <v>-</v>
      </c>
      <c r="T46" s="53" t="str">
        <f t="shared" si="19"/>
        <v>-</v>
      </c>
      <c r="U46" s="54" t="str">
        <f>IF(T46&lt;&gt;"-",T46*60/'計画数(10分毎)'!$I$5*80%,"-")</f>
        <v>-</v>
      </c>
      <c r="V46" s="53">
        <f>IF('計画数(10分毎)'!$M$6=A46,'計画数(10分毎)'!$P$6,0)</f>
        <v>0</v>
      </c>
      <c r="W46" s="53" t="str">
        <f t="shared" si="20"/>
        <v>-</v>
      </c>
      <c r="X46" s="53" t="str">
        <f t="shared" si="21"/>
        <v>-</v>
      </c>
      <c r="Y46" s="54" t="str">
        <f>IF(X46&lt;&gt;"-",X46*60/'計画数(10分毎)'!$I$6*80%,"-")</f>
        <v>-</v>
      </c>
      <c r="Z46" s="54" t="str">
        <f t="shared" si="22"/>
        <v>-</v>
      </c>
      <c r="AA46" s="54">
        <f t="shared" si="23"/>
        <v>0</v>
      </c>
      <c r="AB46" s="55"/>
      <c r="AC46" s="52"/>
      <c r="AD46" s="52"/>
      <c r="AE46" s="52"/>
      <c r="AF46" s="56"/>
    </row>
    <row r="47" spans="1:32" x14ac:dyDescent="0.3">
      <c r="A47" s="36">
        <v>40</v>
      </c>
      <c r="B47" s="81"/>
      <c r="C47" s="44">
        <v>0.5625</v>
      </c>
      <c r="D47" s="38"/>
      <c r="E47" s="40"/>
      <c r="F47" s="40">
        <f>IF('計画数(10分毎)'!$M$2=A47,'計画数(10分毎)'!$P$2,0)</f>
        <v>0</v>
      </c>
      <c r="G47" s="40" t="str">
        <f t="shared" si="12"/>
        <v>-</v>
      </c>
      <c r="H47" s="40" t="str">
        <f t="shared" si="13"/>
        <v>-</v>
      </c>
      <c r="I47" s="41" t="str">
        <f>IF(H47&lt;&gt;"-",H47*60/'計画数(10分毎)'!$I$2*80%,"-")</f>
        <v>-</v>
      </c>
      <c r="J47" s="40">
        <f>IF('計画数(10分毎)'!$M$3=A47,'計画数(10分毎)'!$P$3,0)</f>
        <v>0</v>
      </c>
      <c r="K47" s="40" t="str">
        <f t="shared" si="14"/>
        <v>-</v>
      </c>
      <c r="L47" s="40" t="str">
        <f t="shared" si="15"/>
        <v>-</v>
      </c>
      <c r="M47" s="41" t="str">
        <f>IF(L47&lt;&gt;"-",L47*60/'計画数(10分毎)'!$I$3*80%,"-")</f>
        <v>-</v>
      </c>
      <c r="N47" s="40">
        <f>IF('計画数(10分毎)'!$M$4=A47,'計画数(10分毎)'!$P$4,0)</f>
        <v>0</v>
      </c>
      <c r="O47" s="40" t="str">
        <f t="shared" si="16"/>
        <v>-</v>
      </c>
      <c r="P47" s="40" t="str">
        <f t="shared" si="17"/>
        <v>-</v>
      </c>
      <c r="Q47" s="41" t="str">
        <f>IF(P47&lt;&gt;"-",P47*60/'計画数(10分毎)'!$I$4*80%,"-")</f>
        <v>-</v>
      </c>
      <c r="R47" s="40">
        <f>IF('計画数(10分毎)'!$M$5=A47,'計画数(10分毎)'!$P$5,0)</f>
        <v>0</v>
      </c>
      <c r="S47" s="40" t="str">
        <f t="shared" si="18"/>
        <v>-</v>
      </c>
      <c r="T47" s="40" t="str">
        <f t="shared" si="19"/>
        <v>-</v>
      </c>
      <c r="U47" s="41" t="str">
        <f>IF(T47&lt;&gt;"-",T47*60/'計画数(10分毎)'!$I$5*80%,"-")</f>
        <v>-</v>
      </c>
      <c r="V47" s="40">
        <f>IF('計画数(10分毎)'!$M$6=A47,'計画数(10分毎)'!$P$6,0)</f>
        <v>0</v>
      </c>
      <c r="W47" s="40" t="str">
        <f t="shared" si="20"/>
        <v>-</v>
      </c>
      <c r="X47" s="40" t="str">
        <f t="shared" si="21"/>
        <v>-</v>
      </c>
      <c r="Y47" s="41" t="str">
        <f>IF(X47&lt;&gt;"-",X47*60/'計画数(10分毎)'!$I$6*80%,"-")</f>
        <v>-</v>
      </c>
      <c r="Z47" s="41" t="str">
        <f t="shared" si="22"/>
        <v>-</v>
      </c>
      <c r="AA47" s="41">
        <f t="shared" si="23"/>
        <v>0</v>
      </c>
      <c r="AB47" s="42"/>
      <c r="AC47" s="40"/>
      <c r="AD47" s="40"/>
      <c r="AE47" s="40"/>
      <c r="AF47" s="43"/>
    </row>
    <row r="48" spans="1:32" x14ac:dyDescent="0.3">
      <c r="A48" s="36">
        <v>41</v>
      </c>
      <c r="B48" s="81"/>
      <c r="C48" s="44">
        <v>0.56944444444444442</v>
      </c>
      <c r="D48" s="45"/>
      <c r="E48" s="46"/>
      <c r="F48" s="46">
        <f>IF('計画数(10分毎)'!$M$2=A48,'計画数(10分毎)'!$P$2,0)</f>
        <v>0</v>
      </c>
      <c r="G48" s="46" t="str">
        <f t="shared" si="12"/>
        <v>-</v>
      </c>
      <c r="H48" s="46" t="str">
        <f t="shared" si="13"/>
        <v>-</v>
      </c>
      <c r="I48" s="47" t="str">
        <f>IF(H48&lt;&gt;"-",H48*60/'計画数(10分毎)'!$I$2*80%,"-")</f>
        <v>-</v>
      </c>
      <c r="J48" s="46">
        <f>IF('計画数(10分毎)'!$M$3=A48,'計画数(10分毎)'!$P$3,0)</f>
        <v>0</v>
      </c>
      <c r="K48" s="46" t="str">
        <f t="shared" si="14"/>
        <v>-</v>
      </c>
      <c r="L48" s="46" t="str">
        <f t="shared" si="15"/>
        <v>-</v>
      </c>
      <c r="M48" s="47" t="str">
        <f>IF(L48&lt;&gt;"-",L48*60/'計画数(10分毎)'!$I$3*80%,"-")</f>
        <v>-</v>
      </c>
      <c r="N48" s="46">
        <f>IF('計画数(10分毎)'!$M$4=A48,'計画数(10分毎)'!$P$4,0)</f>
        <v>0</v>
      </c>
      <c r="O48" s="46" t="str">
        <f t="shared" si="16"/>
        <v>-</v>
      </c>
      <c r="P48" s="46" t="str">
        <f t="shared" si="17"/>
        <v>-</v>
      </c>
      <c r="Q48" s="47" t="str">
        <f>IF(P48&lt;&gt;"-",P48*60/'計画数(10分毎)'!$I$4*80%,"-")</f>
        <v>-</v>
      </c>
      <c r="R48" s="46">
        <f>IF('計画数(10分毎)'!$M$5=A48,'計画数(10分毎)'!$P$5,0)</f>
        <v>0</v>
      </c>
      <c r="S48" s="46" t="str">
        <f t="shared" si="18"/>
        <v>-</v>
      </c>
      <c r="T48" s="46" t="str">
        <f t="shared" si="19"/>
        <v>-</v>
      </c>
      <c r="U48" s="47" t="str">
        <f>IF(T48&lt;&gt;"-",T48*60/'計画数(10分毎)'!$I$5*80%,"-")</f>
        <v>-</v>
      </c>
      <c r="V48" s="46">
        <f>IF('計画数(10分毎)'!$M$6=A48,'計画数(10分毎)'!$P$6,0)</f>
        <v>0</v>
      </c>
      <c r="W48" s="46" t="str">
        <f t="shared" si="20"/>
        <v>-</v>
      </c>
      <c r="X48" s="46" t="str">
        <f t="shared" si="21"/>
        <v>-</v>
      </c>
      <c r="Y48" s="47" t="str">
        <f>IF(X48&lt;&gt;"-",X48*60/'計画数(10分毎)'!$I$6*80%,"-")</f>
        <v>-</v>
      </c>
      <c r="Z48" s="47" t="str">
        <f t="shared" si="22"/>
        <v>-</v>
      </c>
      <c r="AA48" s="47">
        <f t="shared" si="23"/>
        <v>0</v>
      </c>
      <c r="AB48" s="48"/>
      <c r="AC48" s="46">
        <v>69</v>
      </c>
      <c r="AD48" s="46"/>
      <c r="AE48" s="46"/>
      <c r="AF48" s="49"/>
    </row>
    <row r="49" spans="1:32" x14ac:dyDescent="0.3">
      <c r="A49" s="36">
        <v>42</v>
      </c>
      <c r="B49" s="82"/>
      <c r="C49" s="44">
        <v>0.57638888888888895</v>
      </c>
      <c r="D49" s="59"/>
      <c r="E49" s="52"/>
      <c r="F49" s="53">
        <f>IF('計画数(10分毎)'!$M$2=A49,'計画数(10分毎)'!$P$2,0)</f>
        <v>0</v>
      </c>
      <c r="G49" s="53" t="str">
        <f t="shared" si="12"/>
        <v>-</v>
      </c>
      <c r="H49" s="53" t="str">
        <f t="shared" si="13"/>
        <v>-</v>
      </c>
      <c r="I49" s="54" t="str">
        <f>IF(H49&lt;&gt;"-",H49*60/'計画数(10分毎)'!$I$2*80%,"-")</f>
        <v>-</v>
      </c>
      <c r="J49" s="53">
        <f>IF('計画数(10分毎)'!$M$3=A49,'計画数(10分毎)'!$P$3,0)</f>
        <v>0</v>
      </c>
      <c r="K49" s="53" t="str">
        <f t="shared" si="14"/>
        <v>-</v>
      </c>
      <c r="L49" s="53" t="str">
        <f t="shared" si="15"/>
        <v>-</v>
      </c>
      <c r="M49" s="54" t="str">
        <f>IF(L49&lt;&gt;"-",L49*60/'計画数(10分毎)'!$I$3*80%,"-")</f>
        <v>-</v>
      </c>
      <c r="N49" s="53">
        <f>IF('計画数(10分毎)'!$M$4=A49,'計画数(10分毎)'!$P$4,0)</f>
        <v>0</v>
      </c>
      <c r="O49" s="53" t="str">
        <f t="shared" si="16"/>
        <v>-</v>
      </c>
      <c r="P49" s="53" t="str">
        <f t="shared" si="17"/>
        <v>-</v>
      </c>
      <c r="Q49" s="54" t="str">
        <f>IF(P49&lt;&gt;"-",P49*60/'計画数(10分毎)'!$I$4*80%,"-")</f>
        <v>-</v>
      </c>
      <c r="R49" s="53">
        <f>IF('計画数(10分毎)'!$M$5=A49,'計画数(10分毎)'!$P$5,0)</f>
        <v>0</v>
      </c>
      <c r="S49" s="53" t="str">
        <f t="shared" si="18"/>
        <v>-</v>
      </c>
      <c r="T49" s="53" t="str">
        <f t="shared" si="19"/>
        <v>-</v>
      </c>
      <c r="U49" s="54" t="str">
        <f>IF(T49&lt;&gt;"-",T49*60/'計画数(10分毎)'!$I$5*80%,"-")</f>
        <v>-</v>
      </c>
      <c r="V49" s="53">
        <f>IF('計画数(10分毎)'!$M$6=A49,'計画数(10分毎)'!$P$6,0)</f>
        <v>0</v>
      </c>
      <c r="W49" s="53" t="str">
        <f t="shared" si="20"/>
        <v>-</v>
      </c>
      <c r="X49" s="53" t="str">
        <f t="shared" si="21"/>
        <v>-</v>
      </c>
      <c r="Y49" s="54" t="str">
        <f>IF(X49&lt;&gt;"-",X49*60/'計画数(10分毎)'!$I$6*80%,"-")</f>
        <v>-</v>
      </c>
      <c r="Z49" s="54" t="str">
        <f t="shared" si="22"/>
        <v>-</v>
      </c>
      <c r="AA49" s="54">
        <f t="shared" si="23"/>
        <v>0</v>
      </c>
      <c r="AB49" s="55"/>
      <c r="AC49" s="52"/>
      <c r="AD49" s="52"/>
      <c r="AE49" s="52"/>
      <c r="AF49" s="56"/>
    </row>
    <row r="50" spans="1:32" x14ac:dyDescent="0.3">
      <c r="A50" s="36">
        <v>43</v>
      </c>
      <c r="B50" s="80">
        <v>0.58333333333333304</v>
      </c>
      <c r="C50" s="37">
        <v>0.58333333333333337</v>
      </c>
      <c r="D50" s="60"/>
      <c r="E50" s="40"/>
      <c r="F50" s="40">
        <f>IF('計画数(10分毎)'!$M$2=A50,'計画数(10分毎)'!$P$2,0)</f>
        <v>0</v>
      </c>
      <c r="G50" s="40" t="str">
        <f t="shared" si="12"/>
        <v>-</v>
      </c>
      <c r="H50" s="40" t="str">
        <f t="shared" si="13"/>
        <v>-</v>
      </c>
      <c r="I50" s="41" t="str">
        <f>IF(H50&lt;&gt;"-",H50*60/'計画数(10分毎)'!$I$2*80%,"-")</f>
        <v>-</v>
      </c>
      <c r="J50" s="40">
        <f>IF('計画数(10分毎)'!$M$3=A50,'計画数(10分毎)'!$P$3,0)</f>
        <v>0</v>
      </c>
      <c r="K50" s="40" t="str">
        <f t="shared" si="14"/>
        <v>-</v>
      </c>
      <c r="L50" s="40" t="str">
        <f t="shared" si="15"/>
        <v>-</v>
      </c>
      <c r="M50" s="41" t="str">
        <f>IF(L50&lt;&gt;"-",L50*60/'計画数(10分毎)'!$I$3*80%,"-")</f>
        <v>-</v>
      </c>
      <c r="N50" s="40">
        <f>IF('計画数(10分毎)'!$M$4=A50,'計画数(10分毎)'!$P$4,0)</f>
        <v>0</v>
      </c>
      <c r="O50" s="40" t="str">
        <f t="shared" si="16"/>
        <v>-</v>
      </c>
      <c r="P50" s="40" t="str">
        <f t="shared" si="17"/>
        <v>-</v>
      </c>
      <c r="Q50" s="41" t="str">
        <f>IF(P50&lt;&gt;"-",P50*60/'計画数(10分毎)'!$I$4*80%,"-")</f>
        <v>-</v>
      </c>
      <c r="R50" s="40">
        <f>IF('計画数(10分毎)'!$M$5=A50,'計画数(10分毎)'!$P$5,0)</f>
        <v>0</v>
      </c>
      <c r="S50" s="40" t="str">
        <f t="shared" si="18"/>
        <v>-</v>
      </c>
      <c r="T50" s="40" t="str">
        <f t="shared" si="19"/>
        <v>-</v>
      </c>
      <c r="U50" s="41" t="str">
        <f>IF(T50&lt;&gt;"-",T50*60/'計画数(10分毎)'!$I$5*80%,"-")</f>
        <v>-</v>
      </c>
      <c r="V50" s="40">
        <f>IF('計画数(10分毎)'!$M$6=A50,'計画数(10分毎)'!$P$6,0)</f>
        <v>0</v>
      </c>
      <c r="W50" s="40" t="str">
        <f t="shared" si="20"/>
        <v>-</v>
      </c>
      <c r="X50" s="40" t="str">
        <f t="shared" si="21"/>
        <v>-</v>
      </c>
      <c r="Y50" s="41" t="str">
        <f>IF(X50&lt;&gt;"-",X50*60/'計画数(10分毎)'!$I$6*80%,"-")</f>
        <v>-</v>
      </c>
      <c r="Z50" s="41" t="str">
        <f t="shared" si="22"/>
        <v>-</v>
      </c>
      <c r="AA50" s="41">
        <f t="shared" si="23"/>
        <v>0</v>
      </c>
      <c r="AB50" s="42"/>
      <c r="AC50" s="40"/>
      <c r="AD50" s="40"/>
      <c r="AE50" s="40"/>
      <c r="AF50" s="43"/>
    </row>
    <row r="51" spans="1:32" x14ac:dyDescent="0.3">
      <c r="A51" s="36">
        <v>44</v>
      </c>
      <c r="B51" s="81"/>
      <c r="C51" s="44">
        <v>0.59027777777777779</v>
      </c>
      <c r="D51" s="45"/>
      <c r="E51" s="46"/>
      <c r="F51" s="46">
        <f>IF('計画数(10分毎)'!$M$2=A51,'計画数(10分毎)'!$P$2,0)</f>
        <v>0</v>
      </c>
      <c r="G51" s="46" t="str">
        <f t="shared" si="12"/>
        <v>-</v>
      </c>
      <c r="H51" s="46" t="str">
        <f t="shared" si="13"/>
        <v>-</v>
      </c>
      <c r="I51" s="47" t="str">
        <f>IF(H51&lt;&gt;"-",H51*60/'計画数(10分毎)'!$I$2*80%,"-")</f>
        <v>-</v>
      </c>
      <c r="J51" s="46">
        <f>IF('計画数(10分毎)'!$M$3=A51,'計画数(10分毎)'!$P$3,0)</f>
        <v>0</v>
      </c>
      <c r="K51" s="46" t="str">
        <f t="shared" si="14"/>
        <v>-</v>
      </c>
      <c r="L51" s="46" t="str">
        <f t="shared" si="15"/>
        <v>-</v>
      </c>
      <c r="M51" s="47" t="str">
        <f>IF(L51&lt;&gt;"-",L51*60/'計画数(10分毎)'!$I$3*80%,"-")</f>
        <v>-</v>
      </c>
      <c r="N51" s="46">
        <f>IF('計画数(10分毎)'!$M$4=A51,'計画数(10分毎)'!$P$4,0)</f>
        <v>0</v>
      </c>
      <c r="O51" s="46" t="str">
        <f t="shared" si="16"/>
        <v>-</v>
      </c>
      <c r="P51" s="46" t="str">
        <f t="shared" si="17"/>
        <v>-</v>
      </c>
      <c r="Q51" s="47" t="str">
        <f>IF(P51&lt;&gt;"-",P51*60/'計画数(10分毎)'!$I$4*80%,"-")</f>
        <v>-</v>
      </c>
      <c r="R51" s="46">
        <f>IF('計画数(10分毎)'!$M$5=A51,'計画数(10分毎)'!$P$5,0)</f>
        <v>0</v>
      </c>
      <c r="S51" s="46" t="str">
        <f t="shared" si="18"/>
        <v>-</v>
      </c>
      <c r="T51" s="46" t="str">
        <f t="shared" si="19"/>
        <v>-</v>
      </c>
      <c r="U51" s="47" t="str">
        <f>IF(T51&lt;&gt;"-",T51*60/'計画数(10分毎)'!$I$5*80%,"-")</f>
        <v>-</v>
      </c>
      <c r="V51" s="46">
        <f>IF('計画数(10分毎)'!$M$6=A51,'計画数(10分毎)'!$P$6,0)</f>
        <v>0</v>
      </c>
      <c r="W51" s="46" t="str">
        <f t="shared" si="20"/>
        <v>-</v>
      </c>
      <c r="X51" s="46" t="str">
        <f t="shared" si="21"/>
        <v>-</v>
      </c>
      <c r="Y51" s="47" t="str">
        <f>IF(X51&lt;&gt;"-",X51*60/'計画数(10分毎)'!$I$6*80%,"-")</f>
        <v>-</v>
      </c>
      <c r="Z51" s="47" t="str">
        <f t="shared" si="22"/>
        <v>-</v>
      </c>
      <c r="AA51" s="47">
        <f t="shared" si="23"/>
        <v>0</v>
      </c>
      <c r="AB51" s="48"/>
      <c r="AC51" s="46"/>
      <c r="AD51" s="46"/>
      <c r="AE51" s="46"/>
      <c r="AF51" s="49"/>
    </row>
    <row r="52" spans="1:32" x14ac:dyDescent="0.3">
      <c r="A52" s="36">
        <v>45</v>
      </c>
      <c r="B52" s="81"/>
      <c r="C52" s="66">
        <v>0.59722222222222221</v>
      </c>
      <c r="D52" s="67" t="s">
        <v>11</v>
      </c>
      <c r="E52" s="52"/>
      <c r="F52" s="53">
        <f>IF('計画数(10分毎)'!$M$2=A52,'計画数(10分毎)'!$P$2,0)</f>
        <v>0</v>
      </c>
      <c r="G52" s="53" t="str">
        <f t="shared" si="12"/>
        <v>-</v>
      </c>
      <c r="H52" s="53" t="str">
        <f t="shared" si="13"/>
        <v>-</v>
      </c>
      <c r="I52" s="54" t="str">
        <f>IF(H52&lt;&gt;"-",H52*60/'計画数(10分毎)'!$I$2*80%,"-")</f>
        <v>-</v>
      </c>
      <c r="J52" s="53">
        <f>IF('計画数(10分毎)'!$M$3=A52,'計画数(10分毎)'!$P$3,0)</f>
        <v>0</v>
      </c>
      <c r="K52" s="53" t="str">
        <f t="shared" si="14"/>
        <v>-</v>
      </c>
      <c r="L52" s="53" t="str">
        <f t="shared" si="15"/>
        <v>-</v>
      </c>
      <c r="M52" s="54" t="str">
        <f>IF(L52&lt;&gt;"-",L52*60/'計画数(10分毎)'!$I$3*80%,"-")</f>
        <v>-</v>
      </c>
      <c r="N52" s="53">
        <f>IF('計画数(10分毎)'!$M$4=A52,'計画数(10分毎)'!$P$4,0)</f>
        <v>0</v>
      </c>
      <c r="O52" s="53" t="str">
        <f t="shared" si="16"/>
        <v>-</v>
      </c>
      <c r="P52" s="53" t="str">
        <f t="shared" si="17"/>
        <v>-</v>
      </c>
      <c r="Q52" s="54" t="str">
        <f>IF(P52&lt;&gt;"-",P52*60/'計画数(10分毎)'!$I$4*80%,"-")</f>
        <v>-</v>
      </c>
      <c r="R52" s="53">
        <f>IF('計画数(10分毎)'!$M$5=A52,'計画数(10分毎)'!$P$5,0)</f>
        <v>0</v>
      </c>
      <c r="S52" s="53" t="str">
        <f t="shared" si="18"/>
        <v>-</v>
      </c>
      <c r="T52" s="53" t="str">
        <f t="shared" si="19"/>
        <v>-</v>
      </c>
      <c r="U52" s="54" t="str">
        <f>IF(T52&lt;&gt;"-",T52*60/'計画数(10分毎)'!$I$5*80%,"-")</f>
        <v>-</v>
      </c>
      <c r="V52" s="53">
        <f>IF('計画数(10分毎)'!$M$6=A52,'計画数(10分毎)'!$P$6,0)</f>
        <v>0</v>
      </c>
      <c r="W52" s="53" t="str">
        <f t="shared" si="20"/>
        <v>-</v>
      </c>
      <c r="X52" s="53" t="str">
        <f t="shared" si="21"/>
        <v>-</v>
      </c>
      <c r="Y52" s="54" t="str">
        <f>IF(X52&lt;&gt;"-",X52*60/'計画数(10分毎)'!$I$6*80%,"-")</f>
        <v>-</v>
      </c>
      <c r="Z52" s="54" t="str">
        <f t="shared" si="22"/>
        <v>-</v>
      </c>
      <c r="AA52" s="54">
        <f t="shared" si="23"/>
        <v>0</v>
      </c>
      <c r="AB52" s="55"/>
      <c r="AC52" s="52">
        <v>23</v>
      </c>
      <c r="AD52" s="52"/>
      <c r="AE52" s="52"/>
      <c r="AF52" s="56"/>
    </row>
    <row r="53" spans="1:32" x14ac:dyDescent="0.3">
      <c r="A53" s="36">
        <v>46</v>
      </c>
      <c r="B53" s="81"/>
      <c r="C53" s="44">
        <v>0.60416666666666663</v>
      </c>
      <c r="D53" s="38"/>
      <c r="E53" s="40"/>
      <c r="F53" s="40">
        <f>IF('計画数(10分毎)'!$M$2=A53,'計画数(10分毎)'!$P$2,0)</f>
        <v>0</v>
      </c>
      <c r="G53" s="40" t="str">
        <f t="shared" si="12"/>
        <v>-</v>
      </c>
      <c r="H53" s="40" t="str">
        <f t="shared" si="13"/>
        <v>-</v>
      </c>
      <c r="I53" s="41" t="str">
        <f>IF(H53&lt;&gt;"-",H53*60/'計画数(10分毎)'!$I$2*80%,"-")</f>
        <v>-</v>
      </c>
      <c r="J53" s="40">
        <f>IF('計画数(10分毎)'!$M$3=A53,'計画数(10分毎)'!$P$3,0)</f>
        <v>0</v>
      </c>
      <c r="K53" s="40" t="str">
        <f t="shared" si="14"/>
        <v>-</v>
      </c>
      <c r="L53" s="40" t="str">
        <f t="shared" si="15"/>
        <v>-</v>
      </c>
      <c r="M53" s="41" t="str">
        <f>IF(L53&lt;&gt;"-",L53*60/'計画数(10分毎)'!$I$3*80%,"-")</f>
        <v>-</v>
      </c>
      <c r="N53" s="40">
        <f>IF('計画数(10分毎)'!$M$4=A53,'計画数(10分毎)'!$P$4,0)</f>
        <v>0</v>
      </c>
      <c r="O53" s="40" t="str">
        <f t="shared" si="16"/>
        <v>-</v>
      </c>
      <c r="P53" s="40" t="str">
        <f t="shared" si="17"/>
        <v>-</v>
      </c>
      <c r="Q53" s="41" t="str">
        <f>IF(P53&lt;&gt;"-",P53*60/'計画数(10分毎)'!$I$4*80%,"-")</f>
        <v>-</v>
      </c>
      <c r="R53" s="40">
        <f>IF('計画数(10分毎)'!$M$5=A53,'計画数(10分毎)'!$P$5,0)</f>
        <v>0</v>
      </c>
      <c r="S53" s="40" t="str">
        <f t="shared" si="18"/>
        <v>-</v>
      </c>
      <c r="T53" s="40" t="str">
        <f t="shared" si="19"/>
        <v>-</v>
      </c>
      <c r="U53" s="41" t="str">
        <f>IF(T53&lt;&gt;"-",T53*60/'計画数(10分毎)'!$I$5*80%,"-")</f>
        <v>-</v>
      </c>
      <c r="V53" s="40">
        <f>IF('計画数(10分毎)'!$M$6=A53,'計画数(10分毎)'!$P$6,0)</f>
        <v>0</v>
      </c>
      <c r="W53" s="40" t="str">
        <f t="shared" si="20"/>
        <v>-</v>
      </c>
      <c r="X53" s="40" t="str">
        <f t="shared" si="21"/>
        <v>-</v>
      </c>
      <c r="Y53" s="41" t="str">
        <f>IF(X53&lt;&gt;"-",X53*60/'計画数(10分毎)'!$I$6*80%,"-")</f>
        <v>-</v>
      </c>
      <c r="Z53" s="41" t="str">
        <f t="shared" si="22"/>
        <v>-</v>
      </c>
      <c r="AA53" s="41">
        <f t="shared" si="23"/>
        <v>0</v>
      </c>
      <c r="AB53" s="42"/>
      <c r="AC53" s="40"/>
      <c r="AD53" s="40"/>
      <c r="AE53" s="40"/>
      <c r="AF53" s="43"/>
    </row>
    <row r="54" spans="1:32" x14ac:dyDescent="0.3">
      <c r="A54" s="36">
        <v>47</v>
      </c>
      <c r="B54" s="81"/>
      <c r="C54" s="44">
        <v>0.61111111111111105</v>
      </c>
      <c r="D54" s="45"/>
      <c r="E54" s="46"/>
      <c r="F54" s="46">
        <f>IF('計画数(10分毎)'!$M$2=A54,'計画数(10分毎)'!$P$2,0)</f>
        <v>0</v>
      </c>
      <c r="G54" s="46" t="str">
        <f t="shared" si="12"/>
        <v>-</v>
      </c>
      <c r="H54" s="46" t="str">
        <f t="shared" si="13"/>
        <v>-</v>
      </c>
      <c r="I54" s="47" t="str">
        <f>IF(H54&lt;&gt;"-",H54*60/'計画数(10分毎)'!$I$2*80%,"-")</f>
        <v>-</v>
      </c>
      <c r="J54" s="46">
        <f>IF('計画数(10分毎)'!$M$3=A54,'計画数(10分毎)'!$P$3,0)</f>
        <v>0</v>
      </c>
      <c r="K54" s="46" t="str">
        <f t="shared" si="14"/>
        <v>-</v>
      </c>
      <c r="L54" s="46" t="str">
        <f t="shared" si="15"/>
        <v>-</v>
      </c>
      <c r="M54" s="47" t="str">
        <f>IF(L54&lt;&gt;"-",L54*60/'計画数(10分毎)'!$I$3*80%,"-")</f>
        <v>-</v>
      </c>
      <c r="N54" s="46">
        <f>IF('計画数(10分毎)'!$M$4=A54,'計画数(10分毎)'!$P$4,0)</f>
        <v>0</v>
      </c>
      <c r="O54" s="46" t="str">
        <f t="shared" si="16"/>
        <v>-</v>
      </c>
      <c r="P54" s="46" t="str">
        <f t="shared" si="17"/>
        <v>-</v>
      </c>
      <c r="Q54" s="47" t="str">
        <f>IF(P54&lt;&gt;"-",P54*60/'計画数(10分毎)'!$I$4*80%,"-")</f>
        <v>-</v>
      </c>
      <c r="R54" s="46">
        <f>IF('計画数(10分毎)'!$M$5=A54,'計画数(10分毎)'!$P$5,0)</f>
        <v>0</v>
      </c>
      <c r="S54" s="46" t="str">
        <f t="shared" si="18"/>
        <v>-</v>
      </c>
      <c r="T54" s="46" t="str">
        <f t="shared" si="19"/>
        <v>-</v>
      </c>
      <c r="U54" s="47" t="str">
        <f>IF(T54&lt;&gt;"-",T54*60/'計画数(10分毎)'!$I$5*80%,"-")</f>
        <v>-</v>
      </c>
      <c r="V54" s="46">
        <f>IF('計画数(10分毎)'!$M$6=A54,'計画数(10分毎)'!$P$6,0)</f>
        <v>0</v>
      </c>
      <c r="W54" s="46" t="str">
        <f t="shared" si="20"/>
        <v>-</v>
      </c>
      <c r="X54" s="46" t="str">
        <f t="shared" si="21"/>
        <v>-</v>
      </c>
      <c r="Y54" s="47" t="str">
        <f>IF(X54&lt;&gt;"-",X54*60/'計画数(10分毎)'!$I$6*80%,"-")</f>
        <v>-</v>
      </c>
      <c r="Z54" s="47" t="str">
        <f t="shared" si="22"/>
        <v>-</v>
      </c>
      <c r="AA54" s="47">
        <f t="shared" si="23"/>
        <v>0</v>
      </c>
      <c r="AB54" s="48"/>
      <c r="AC54" s="46"/>
      <c r="AD54" s="46"/>
      <c r="AE54" s="46"/>
      <c r="AF54" s="49"/>
    </row>
    <row r="55" spans="1:32" x14ac:dyDescent="0.3">
      <c r="A55" s="36">
        <v>48</v>
      </c>
      <c r="B55" s="82"/>
      <c r="C55" s="44">
        <v>0.61805555555555558</v>
      </c>
      <c r="D55" s="59"/>
      <c r="E55" s="52"/>
      <c r="F55" s="53">
        <f>IF('計画数(10分毎)'!$M$2=A55,'計画数(10分毎)'!$P$2,0)</f>
        <v>0</v>
      </c>
      <c r="G55" s="53" t="str">
        <f t="shared" si="12"/>
        <v>-</v>
      </c>
      <c r="H55" s="53" t="str">
        <f t="shared" si="13"/>
        <v>-</v>
      </c>
      <c r="I55" s="54" t="str">
        <f>IF(H55&lt;&gt;"-",H55*60/'計画数(10分毎)'!$I$2*80%,"-")</f>
        <v>-</v>
      </c>
      <c r="J55" s="53">
        <f>IF('計画数(10分毎)'!$M$3=A55,'計画数(10分毎)'!$P$3,0)</f>
        <v>0</v>
      </c>
      <c r="K55" s="53" t="str">
        <f t="shared" si="14"/>
        <v>-</v>
      </c>
      <c r="L55" s="53" t="str">
        <f t="shared" si="15"/>
        <v>-</v>
      </c>
      <c r="M55" s="54" t="str">
        <f>IF(L55&lt;&gt;"-",L55*60/'計画数(10分毎)'!$I$3*80%,"-")</f>
        <v>-</v>
      </c>
      <c r="N55" s="53">
        <f>IF('計画数(10分毎)'!$M$4=A55,'計画数(10分毎)'!$P$4,0)</f>
        <v>0</v>
      </c>
      <c r="O55" s="53" t="str">
        <f t="shared" si="16"/>
        <v>-</v>
      </c>
      <c r="P55" s="53" t="str">
        <f t="shared" si="17"/>
        <v>-</v>
      </c>
      <c r="Q55" s="54" t="str">
        <f>IF(P55&lt;&gt;"-",P55*60/'計画数(10分毎)'!$I$4*80%,"-")</f>
        <v>-</v>
      </c>
      <c r="R55" s="53">
        <f>IF('計画数(10分毎)'!$M$5=A55,'計画数(10分毎)'!$P$5,0)</f>
        <v>0</v>
      </c>
      <c r="S55" s="53" t="str">
        <f t="shared" si="18"/>
        <v>-</v>
      </c>
      <c r="T55" s="53" t="str">
        <f t="shared" si="19"/>
        <v>-</v>
      </c>
      <c r="U55" s="54" t="str">
        <f>IF(T55&lt;&gt;"-",T55*60/'計画数(10分毎)'!$I$5*80%,"-")</f>
        <v>-</v>
      </c>
      <c r="V55" s="53">
        <f>IF('計画数(10分毎)'!$M$6=A55,'計画数(10分毎)'!$P$6,0)</f>
        <v>0</v>
      </c>
      <c r="W55" s="53" t="str">
        <f t="shared" si="20"/>
        <v>-</v>
      </c>
      <c r="X55" s="53" t="str">
        <f t="shared" si="21"/>
        <v>-</v>
      </c>
      <c r="Y55" s="54" t="str">
        <f>IF(X55&lt;&gt;"-",X55*60/'計画数(10分毎)'!$I$6*80%,"-")</f>
        <v>-</v>
      </c>
      <c r="Z55" s="54" t="str">
        <f t="shared" si="22"/>
        <v>-</v>
      </c>
      <c r="AA55" s="54">
        <f t="shared" si="23"/>
        <v>0</v>
      </c>
      <c r="AB55" s="55"/>
      <c r="AC55" s="52"/>
      <c r="AD55" s="52"/>
      <c r="AE55" s="52"/>
      <c r="AF55" s="56"/>
    </row>
    <row r="56" spans="1:32" x14ac:dyDescent="0.3">
      <c r="A56" s="36">
        <v>49</v>
      </c>
      <c r="B56" s="80">
        <v>0.625</v>
      </c>
      <c r="C56" s="37">
        <v>0.625</v>
      </c>
      <c r="D56" s="60"/>
      <c r="E56" s="40"/>
      <c r="F56" s="40">
        <f>IF('計画数(10分毎)'!$M$2=A56,'計画数(10分毎)'!$P$2,0)</f>
        <v>0</v>
      </c>
      <c r="G56" s="40" t="str">
        <f t="shared" si="12"/>
        <v>-</v>
      </c>
      <c r="H56" s="40" t="str">
        <f t="shared" si="13"/>
        <v>-</v>
      </c>
      <c r="I56" s="41" t="str">
        <f>IF(H56&lt;&gt;"-",H56*60/'計画数(10分毎)'!$I$2*80%,"-")</f>
        <v>-</v>
      </c>
      <c r="J56" s="40">
        <f>IF('計画数(10分毎)'!$M$3=A56,'計画数(10分毎)'!$P$3,0)</f>
        <v>0</v>
      </c>
      <c r="K56" s="40" t="str">
        <f t="shared" si="14"/>
        <v>-</v>
      </c>
      <c r="L56" s="40" t="str">
        <f t="shared" si="15"/>
        <v>-</v>
      </c>
      <c r="M56" s="41" t="str">
        <f>IF(L56&lt;&gt;"-",L56*60/'計画数(10分毎)'!$I$3*80%,"-")</f>
        <v>-</v>
      </c>
      <c r="N56" s="40">
        <f>IF('計画数(10分毎)'!$M$4=A56,'計画数(10分毎)'!$P$4,0)</f>
        <v>0</v>
      </c>
      <c r="O56" s="40" t="str">
        <f t="shared" si="16"/>
        <v>-</v>
      </c>
      <c r="P56" s="40" t="str">
        <f t="shared" si="17"/>
        <v>-</v>
      </c>
      <c r="Q56" s="41" t="str">
        <f>IF(P56&lt;&gt;"-",P56*60/'計画数(10分毎)'!$I$4*80%,"-")</f>
        <v>-</v>
      </c>
      <c r="R56" s="40">
        <f>IF('計画数(10分毎)'!$M$5=A56,'計画数(10分毎)'!$P$5,0)</f>
        <v>0</v>
      </c>
      <c r="S56" s="40" t="str">
        <f t="shared" si="18"/>
        <v>-</v>
      </c>
      <c r="T56" s="40" t="str">
        <f t="shared" si="19"/>
        <v>-</v>
      </c>
      <c r="U56" s="41" t="str">
        <f>IF(T56&lt;&gt;"-",T56*60/'計画数(10分毎)'!$I$5*80%,"-")</f>
        <v>-</v>
      </c>
      <c r="V56" s="40">
        <f>IF('計画数(10分毎)'!$M$6=A56,'計画数(10分毎)'!$P$6,0)</f>
        <v>0</v>
      </c>
      <c r="W56" s="40" t="str">
        <f t="shared" si="20"/>
        <v>-</v>
      </c>
      <c r="X56" s="40" t="str">
        <f t="shared" si="21"/>
        <v>-</v>
      </c>
      <c r="Y56" s="41" t="str">
        <f>IF(X56&lt;&gt;"-",X56*60/'計画数(10分毎)'!$I$6*80%,"-")</f>
        <v>-</v>
      </c>
      <c r="Z56" s="41" t="str">
        <f t="shared" si="22"/>
        <v>-</v>
      </c>
      <c r="AA56" s="41">
        <f t="shared" si="23"/>
        <v>0</v>
      </c>
      <c r="AB56" s="42"/>
      <c r="AC56" s="40"/>
      <c r="AD56" s="40"/>
      <c r="AE56" s="40"/>
      <c r="AF56" s="43"/>
    </row>
    <row r="57" spans="1:32" x14ac:dyDescent="0.3">
      <c r="A57" s="36">
        <v>50</v>
      </c>
      <c r="B57" s="81"/>
      <c r="C57" s="44">
        <v>0.63194444444444442</v>
      </c>
      <c r="D57" s="45"/>
      <c r="E57" s="46"/>
      <c r="F57" s="46">
        <f>IF('計画数(10分毎)'!$M$2=A57,'計画数(10分毎)'!$P$2,0)</f>
        <v>0</v>
      </c>
      <c r="G57" s="46" t="str">
        <f t="shared" si="12"/>
        <v>-</v>
      </c>
      <c r="H57" s="46" t="str">
        <f t="shared" si="13"/>
        <v>-</v>
      </c>
      <c r="I57" s="47" t="str">
        <f>IF(H57&lt;&gt;"-",H57*60/'計画数(10分毎)'!$I$2*80%,"-")</f>
        <v>-</v>
      </c>
      <c r="J57" s="46">
        <f>IF('計画数(10分毎)'!$M$3=A57,'計画数(10分毎)'!$P$3,0)</f>
        <v>0</v>
      </c>
      <c r="K57" s="46" t="str">
        <f t="shared" si="14"/>
        <v>-</v>
      </c>
      <c r="L57" s="46" t="str">
        <f t="shared" si="15"/>
        <v>-</v>
      </c>
      <c r="M57" s="47" t="str">
        <f>IF(L57&lt;&gt;"-",L57*60/'計画数(10分毎)'!$I$3*80%,"-")</f>
        <v>-</v>
      </c>
      <c r="N57" s="46">
        <f>IF('計画数(10分毎)'!$M$4=A57,'計画数(10分毎)'!$P$4,0)</f>
        <v>0</v>
      </c>
      <c r="O57" s="46" t="str">
        <f t="shared" si="16"/>
        <v>-</v>
      </c>
      <c r="P57" s="46" t="str">
        <f t="shared" si="17"/>
        <v>-</v>
      </c>
      <c r="Q57" s="47" t="str">
        <f>IF(P57&lt;&gt;"-",P57*60/'計画数(10分毎)'!$I$4*80%,"-")</f>
        <v>-</v>
      </c>
      <c r="R57" s="46">
        <f>IF('計画数(10分毎)'!$M$5=A57,'計画数(10分毎)'!$P$5,0)</f>
        <v>0</v>
      </c>
      <c r="S57" s="46" t="str">
        <f t="shared" si="18"/>
        <v>-</v>
      </c>
      <c r="T57" s="46" t="str">
        <f t="shared" si="19"/>
        <v>-</v>
      </c>
      <c r="U57" s="47" t="str">
        <f>IF(T57&lt;&gt;"-",T57*60/'計画数(10分毎)'!$I$5*80%,"-")</f>
        <v>-</v>
      </c>
      <c r="V57" s="46">
        <f>IF('計画数(10分毎)'!$M$6=A57,'計画数(10分毎)'!$P$6,0)</f>
        <v>0</v>
      </c>
      <c r="W57" s="46" t="str">
        <f t="shared" si="20"/>
        <v>-</v>
      </c>
      <c r="X57" s="46" t="str">
        <f t="shared" si="21"/>
        <v>-</v>
      </c>
      <c r="Y57" s="47" t="str">
        <f>IF(X57&lt;&gt;"-",X57*60/'計画数(10分毎)'!$I$6*80%,"-")</f>
        <v>-</v>
      </c>
      <c r="Z57" s="47" t="str">
        <f t="shared" si="22"/>
        <v>-</v>
      </c>
      <c r="AA57" s="47">
        <f t="shared" si="23"/>
        <v>0</v>
      </c>
      <c r="AB57" s="48"/>
      <c r="AC57" s="46"/>
      <c r="AD57" s="46"/>
      <c r="AE57" s="46"/>
      <c r="AF57" s="49"/>
    </row>
    <row r="58" spans="1:32" x14ac:dyDescent="0.3">
      <c r="A58" s="36">
        <v>51</v>
      </c>
      <c r="B58" s="81"/>
      <c r="C58" s="50">
        <v>0.63888888888888895</v>
      </c>
      <c r="D58" s="51"/>
      <c r="E58" s="52"/>
      <c r="F58" s="53">
        <f>IF('計画数(10分毎)'!$M$2=A58,'計画数(10分毎)'!$P$2,0)</f>
        <v>0</v>
      </c>
      <c r="G58" s="53" t="str">
        <f t="shared" si="12"/>
        <v>-</v>
      </c>
      <c r="H58" s="53" t="str">
        <f t="shared" si="13"/>
        <v>-</v>
      </c>
      <c r="I58" s="54" t="str">
        <f>IF(H58&lt;&gt;"-",H58*60/'計画数(10分毎)'!$I$2*80%,"-")</f>
        <v>-</v>
      </c>
      <c r="J58" s="53">
        <f>IF('計画数(10分毎)'!$M$3=A58,'計画数(10分毎)'!$P$3,0)</f>
        <v>0</v>
      </c>
      <c r="K58" s="53" t="str">
        <f t="shared" si="14"/>
        <v>-</v>
      </c>
      <c r="L58" s="53" t="str">
        <f t="shared" si="15"/>
        <v>-</v>
      </c>
      <c r="M58" s="54" t="str">
        <f>IF(L58&lt;&gt;"-",L58*60/'計画数(10分毎)'!$I$3*80%,"-")</f>
        <v>-</v>
      </c>
      <c r="N58" s="53">
        <f>IF('計画数(10分毎)'!$M$4=A58,'計画数(10分毎)'!$P$4,0)</f>
        <v>0</v>
      </c>
      <c r="O58" s="53" t="str">
        <f t="shared" si="16"/>
        <v>-</v>
      </c>
      <c r="P58" s="53" t="str">
        <f t="shared" si="17"/>
        <v>-</v>
      </c>
      <c r="Q58" s="54" t="str">
        <f>IF(P58&lt;&gt;"-",P58*60/'計画数(10分毎)'!$I$4*80%,"-")</f>
        <v>-</v>
      </c>
      <c r="R58" s="53">
        <f>IF('計画数(10分毎)'!$M$5=A58,'計画数(10分毎)'!$P$5,0)</f>
        <v>0</v>
      </c>
      <c r="S58" s="53" t="str">
        <f t="shared" si="18"/>
        <v>-</v>
      </c>
      <c r="T58" s="53" t="str">
        <f t="shared" si="19"/>
        <v>-</v>
      </c>
      <c r="U58" s="54" t="str">
        <f>IF(T58&lt;&gt;"-",T58*60/'計画数(10分毎)'!$I$5*80%,"-")</f>
        <v>-</v>
      </c>
      <c r="V58" s="53">
        <f>IF('計画数(10分毎)'!$M$6=A58,'計画数(10分毎)'!$P$6,0)</f>
        <v>0</v>
      </c>
      <c r="W58" s="53" t="str">
        <f t="shared" si="20"/>
        <v>-</v>
      </c>
      <c r="X58" s="53" t="str">
        <f t="shared" si="21"/>
        <v>-</v>
      </c>
      <c r="Y58" s="54" t="str">
        <f>IF(X58&lt;&gt;"-",X58*60/'計画数(10分毎)'!$I$6*80%,"-")</f>
        <v>-</v>
      </c>
      <c r="Z58" s="54" t="str">
        <f t="shared" si="22"/>
        <v>-</v>
      </c>
      <c r="AA58" s="54">
        <f t="shared" si="23"/>
        <v>0</v>
      </c>
      <c r="AB58" s="55"/>
      <c r="AC58" s="52"/>
      <c r="AD58" s="52"/>
      <c r="AE58" s="52"/>
      <c r="AF58" s="56"/>
    </row>
    <row r="59" spans="1:32" x14ac:dyDescent="0.3">
      <c r="A59" s="36">
        <v>52</v>
      </c>
      <c r="B59" s="81"/>
      <c r="C59" s="44">
        <v>0.64583333333333337</v>
      </c>
      <c r="D59" s="38"/>
      <c r="E59" s="40"/>
      <c r="F59" s="40">
        <f>IF('計画数(10分毎)'!$M$2=A59,'計画数(10分毎)'!$P$2,0)</f>
        <v>0</v>
      </c>
      <c r="G59" s="40" t="str">
        <f t="shared" si="12"/>
        <v>-</v>
      </c>
      <c r="H59" s="40" t="str">
        <f t="shared" si="13"/>
        <v>-</v>
      </c>
      <c r="I59" s="41" t="str">
        <f>IF(H59&lt;&gt;"-",H59*60/'計画数(10分毎)'!$I$2*80%,"-")</f>
        <v>-</v>
      </c>
      <c r="J59" s="40">
        <f>IF('計画数(10分毎)'!$M$3=A59,'計画数(10分毎)'!$P$3,0)</f>
        <v>0</v>
      </c>
      <c r="K59" s="40" t="str">
        <f t="shared" si="14"/>
        <v>-</v>
      </c>
      <c r="L59" s="40" t="str">
        <f t="shared" si="15"/>
        <v>-</v>
      </c>
      <c r="M59" s="41" t="str">
        <f>IF(L59&lt;&gt;"-",L59*60/'計画数(10分毎)'!$I$3*80%,"-")</f>
        <v>-</v>
      </c>
      <c r="N59" s="40">
        <f>IF('計画数(10分毎)'!$M$4=A59,'計画数(10分毎)'!$P$4,0)</f>
        <v>0</v>
      </c>
      <c r="O59" s="40" t="str">
        <f t="shared" si="16"/>
        <v>-</v>
      </c>
      <c r="P59" s="40" t="str">
        <f t="shared" si="17"/>
        <v>-</v>
      </c>
      <c r="Q59" s="41" t="str">
        <f>IF(P59&lt;&gt;"-",P59*60/'計画数(10分毎)'!$I$4*80%,"-")</f>
        <v>-</v>
      </c>
      <c r="R59" s="40">
        <f>IF('計画数(10分毎)'!$M$5=A59,'計画数(10分毎)'!$P$5,0)</f>
        <v>0</v>
      </c>
      <c r="S59" s="40" t="str">
        <f t="shared" si="18"/>
        <v>-</v>
      </c>
      <c r="T59" s="40" t="str">
        <f t="shared" si="19"/>
        <v>-</v>
      </c>
      <c r="U59" s="41" t="str">
        <f>IF(T59&lt;&gt;"-",T59*60/'計画数(10分毎)'!$I$5*80%,"-")</f>
        <v>-</v>
      </c>
      <c r="V59" s="40">
        <f>IF('計画数(10分毎)'!$M$6=A59,'計画数(10分毎)'!$P$6,0)</f>
        <v>0</v>
      </c>
      <c r="W59" s="40" t="str">
        <f t="shared" si="20"/>
        <v>-</v>
      </c>
      <c r="X59" s="40" t="str">
        <f t="shared" si="21"/>
        <v>-</v>
      </c>
      <c r="Y59" s="41" t="str">
        <f>IF(X59&lt;&gt;"-",X59*60/'計画数(10分毎)'!$I$6*80%,"-")</f>
        <v>-</v>
      </c>
      <c r="Z59" s="41" t="str">
        <f t="shared" si="22"/>
        <v>-</v>
      </c>
      <c r="AA59" s="41">
        <f t="shared" si="23"/>
        <v>0</v>
      </c>
      <c r="AB59" s="42"/>
      <c r="AC59" s="40"/>
      <c r="AD59" s="40"/>
      <c r="AE59" s="40"/>
      <c r="AF59" s="43"/>
    </row>
    <row r="60" spans="1:32" x14ac:dyDescent="0.3">
      <c r="A60" s="36">
        <v>53</v>
      </c>
      <c r="B60" s="81"/>
      <c r="C60" s="61">
        <v>0.65277777777777779</v>
      </c>
      <c r="D60" s="68" t="s">
        <v>11</v>
      </c>
      <c r="E60" s="46"/>
      <c r="F60" s="46">
        <f>IF('計画数(10分毎)'!$M$2=A60,'計画数(10分毎)'!$P$2,0)</f>
        <v>0</v>
      </c>
      <c r="G60" s="46" t="str">
        <f t="shared" si="12"/>
        <v>-</v>
      </c>
      <c r="H60" s="46" t="str">
        <f t="shared" si="13"/>
        <v>-</v>
      </c>
      <c r="I60" s="47" t="str">
        <f>IF(H60&lt;&gt;"-",H60*60/'計画数(10分毎)'!$I$2*80%,"-")</f>
        <v>-</v>
      </c>
      <c r="J60" s="46">
        <f>IF('計画数(10分毎)'!$M$3=A60,'計画数(10分毎)'!$P$3,0)</f>
        <v>0</v>
      </c>
      <c r="K60" s="46" t="str">
        <f t="shared" si="14"/>
        <v>-</v>
      </c>
      <c r="L60" s="46" t="str">
        <f t="shared" si="15"/>
        <v>-</v>
      </c>
      <c r="M60" s="47" t="str">
        <f>IF(L60&lt;&gt;"-",L60*60/'計画数(10分毎)'!$I$3*80%,"-")</f>
        <v>-</v>
      </c>
      <c r="N60" s="46">
        <f>IF('計画数(10分毎)'!$M$4=A60,'計画数(10分毎)'!$P$4,0)</f>
        <v>0</v>
      </c>
      <c r="O60" s="46" t="str">
        <f t="shared" si="16"/>
        <v>-</v>
      </c>
      <c r="P60" s="46" t="str">
        <f t="shared" si="17"/>
        <v>-</v>
      </c>
      <c r="Q60" s="47" t="str">
        <f>IF(P60&lt;&gt;"-",P60*60/'計画数(10分毎)'!$I$4*80%,"-")</f>
        <v>-</v>
      </c>
      <c r="R60" s="46">
        <f>IF('計画数(10分毎)'!$M$5=A60,'計画数(10分毎)'!$P$5,0)</f>
        <v>0</v>
      </c>
      <c r="S60" s="46" t="str">
        <f t="shared" si="18"/>
        <v>-</v>
      </c>
      <c r="T60" s="46" t="str">
        <f t="shared" si="19"/>
        <v>-</v>
      </c>
      <c r="U60" s="47" t="str">
        <f>IF(T60&lt;&gt;"-",T60*60/'計画数(10分毎)'!$I$5*80%,"-")</f>
        <v>-</v>
      </c>
      <c r="V60" s="46">
        <f>IF('計画数(10分毎)'!$M$6=A60,'計画数(10分毎)'!$P$6,0)</f>
        <v>0</v>
      </c>
      <c r="W60" s="46" t="str">
        <f t="shared" si="20"/>
        <v>-</v>
      </c>
      <c r="X60" s="46" t="str">
        <f t="shared" si="21"/>
        <v>-</v>
      </c>
      <c r="Y60" s="47" t="str">
        <f>IF(X60&lt;&gt;"-",X60*60/'計画数(10分毎)'!$I$6*80%,"-")</f>
        <v>-</v>
      </c>
      <c r="Z60" s="47" t="str">
        <f t="shared" si="22"/>
        <v>-</v>
      </c>
      <c r="AA60" s="47">
        <f t="shared" si="23"/>
        <v>0</v>
      </c>
      <c r="AB60" s="48"/>
      <c r="AC60" s="46"/>
      <c r="AD60" s="46"/>
      <c r="AE60" s="46"/>
      <c r="AF60" s="49"/>
    </row>
    <row r="61" spans="1:32" x14ac:dyDescent="0.3">
      <c r="A61" s="36">
        <v>54</v>
      </c>
      <c r="B61" s="82"/>
      <c r="C61" s="44">
        <v>0.65972222222222221</v>
      </c>
      <c r="D61" s="59"/>
      <c r="E61" s="52"/>
      <c r="F61" s="53">
        <f>IF('計画数(10分毎)'!$M$2=A61,'計画数(10分毎)'!$P$2,0)</f>
        <v>0</v>
      </c>
      <c r="G61" s="53" t="str">
        <f t="shared" si="12"/>
        <v>-</v>
      </c>
      <c r="H61" s="53" t="str">
        <f t="shared" si="13"/>
        <v>-</v>
      </c>
      <c r="I61" s="54" t="str">
        <f>IF(H61&lt;&gt;"-",H61*60/'計画数(10分毎)'!$I$2*80%,"-")</f>
        <v>-</v>
      </c>
      <c r="J61" s="53">
        <f>IF('計画数(10分毎)'!$M$3=A61,'計画数(10分毎)'!$P$3,0)</f>
        <v>0</v>
      </c>
      <c r="K61" s="53" t="str">
        <f t="shared" si="14"/>
        <v>-</v>
      </c>
      <c r="L61" s="53" t="str">
        <f t="shared" si="15"/>
        <v>-</v>
      </c>
      <c r="M61" s="54" t="str">
        <f>IF(L61&lt;&gt;"-",L61*60/'計画数(10分毎)'!$I$3*80%,"-")</f>
        <v>-</v>
      </c>
      <c r="N61" s="53">
        <f>IF('計画数(10分毎)'!$M$4=A61,'計画数(10分毎)'!$P$4,0)</f>
        <v>0</v>
      </c>
      <c r="O61" s="53" t="str">
        <f t="shared" si="16"/>
        <v>-</v>
      </c>
      <c r="P61" s="53" t="str">
        <f t="shared" si="17"/>
        <v>-</v>
      </c>
      <c r="Q61" s="54" t="str">
        <f>IF(P61&lt;&gt;"-",P61*60/'計画数(10分毎)'!$I$4*80%,"-")</f>
        <v>-</v>
      </c>
      <c r="R61" s="53">
        <f>IF('計画数(10分毎)'!$M$5=A61,'計画数(10分毎)'!$P$5,0)</f>
        <v>0</v>
      </c>
      <c r="S61" s="53" t="str">
        <f t="shared" si="18"/>
        <v>-</v>
      </c>
      <c r="T61" s="53" t="str">
        <f t="shared" si="19"/>
        <v>-</v>
      </c>
      <c r="U61" s="54" t="str">
        <f>IF(T61&lt;&gt;"-",T61*60/'計画数(10分毎)'!$I$5*80%,"-")</f>
        <v>-</v>
      </c>
      <c r="V61" s="53">
        <f>IF('計画数(10分毎)'!$M$6=A61,'計画数(10分毎)'!$P$6,0)</f>
        <v>0</v>
      </c>
      <c r="W61" s="53" t="str">
        <f t="shared" si="20"/>
        <v>-</v>
      </c>
      <c r="X61" s="53" t="str">
        <f t="shared" si="21"/>
        <v>-</v>
      </c>
      <c r="Y61" s="54" t="str">
        <f>IF(X61&lt;&gt;"-",X61*60/'計画数(10分毎)'!$I$6*80%,"-")</f>
        <v>-</v>
      </c>
      <c r="Z61" s="54" t="str">
        <f t="shared" si="22"/>
        <v>-</v>
      </c>
      <c r="AA61" s="54">
        <f t="shared" si="23"/>
        <v>0</v>
      </c>
      <c r="AB61" s="55"/>
      <c r="AC61" s="52"/>
      <c r="AD61" s="52"/>
      <c r="AE61" s="52"/>
      <c r="AF61" s="56"/>
    </row>
    <row r="62" spans="1:32" x14ac:dyDescent="0.3">
      <c r="A62" s="36">
        <v>55</v>
      </c>
      <c r="B62" s="80">
        <v>0.66666666666666696</v>
      </c>
      <c r="C62" s="37">
        <v>0.66666666666666663</v>
      </c>
      <c r="D62" s="60"/>
      <c r="E62" s="40"/>
      <c r="F62" s="40">
        <f>IF('計画数(10分毎)'!$M$2=A62,'計画数(10分毎)'!$P$2,0)</f>
        <v>0</v>
      </c>
      <c r="G62" s="40" t="str">
        <f t="shared" si="12"/>
        <v>-</v>
      </c>
      <c r="H62" s="40" t="str">
        <f t="shared" si="13"/>
        <v>-</v>
      </c>
      <c r="I62" s="41" t="str">
        <f>IF(H62&lt;&gt;"-",H62*60/'計画数(10分毎)'!$I$2*80%,"-")</f>
        <v>-</v>
      </c>
      <c r="J62" s="40">
        <f>IF('計画数(10分毎)'!$M$3=A62,'計画数(10分毎)'!$P$3,0)</f>
        <v>0</v>
      </c>
      <c r="K62" s="40" t="str">
        <f t="shared" si="14"/>
        <v>-</v>
      </c>
      <c r="L62" s="40" t="str">
        <f t="shared" si="15"/>
        <v>-</v>
      </c>
      <c r="M62" s="41" t="str">
        <f>IF(L62&lt;&gt;"-",L62*60/'計画数(10分毎)'!$I$3*80%,"-")</f>
        <v>-</v>
      </c>
      <c r="N62" s="40">
        <f>IF('計画数(10分毎)'!$M$4=A62,'計画数(10分毎)'!$P$4,0)</f>
        <v>0</v>
      </c>
      <c r="O62" s="40" t="str">
        <f t="shared" si="16"/>
        <v>-</v>
      </c>
      <c r="P62" s="40" t="str">
        <f t="shared" si="17"/>
        <v>-</v>
      </c>
      <c r="Q62" s="41" t="str">
        <f>IF(P62&lt;&gt;"-",P62*60/'計画数(10分毎)'!$I$4*80%,"-")</f>
        <v>-</v>
      </c>
      <c r="R62" s="40">
        <f>IF('計画数(10分毎)'!$M$5=A62,'計画数(10分毎)'!$P$5,0)</f>
        <v>0</v>
      </c>
      <c r="S62" s="40" t="str">
        <f t="shared" si="18"/>
        <v>-</v>
      </c>
      <c r="T62" s="40" t="str">
        <f t="shared" si="19"/>
        <v>-</v>
      </c>
      <c r="U62" s="41" t="str">
        <f>IF(T62&lt;&gt;"-",T62*60/'計画数(10分毎)'!$I$5*80%,"-")</f>
        <v>-</v>
      </c>
      <c r="V62" s="40">
        <f>IF('計画数(10分毎)'!$M$6=A62,'計画数(10分毎)'!$P$6,0)</f>
        <v>0</v>
      </c>
      <c r="W62" s="40" t="str">
        <f t="shared" si="20"/>
        <v>-</v>
      </c>
      <c r="X62" s="40" t="str">
        <f t="shared" si="21"/>
        <v>-</v>
      </c>
      <c r="Y62" s="41" t="str">
        <f>IF(X62&lt;&gt;"-",X62*60/'計画数(10分毎)'!$I$6*80%,"-")</f>
        <v>-</v>
      </c>
      <c r="Z62" s="41" t="str">
        <f t="shared" si="22"/>
        <v>-</v>
      </c>
      <c r="AA62" s="41">
        <f t="shared" si="23"/>
        <v>0</v>
      </c>
      <c r="AB62" s="42"/>
      <c r="AC62" s="40"/>
      <c r="AD62" s="40"/>
      <c r="AE62" s="40"/>
      <c r="AF62" s="43"/>
    </row>
    <row r="63" spans="1:32" x14ac:dyDescent="0.3">
      <c r="A63" s="36">
        <v>56</v>
      </c>
      <c r="B63" s="81"/>
      <c r="C63" s="44">
        <v>0.67361111111111116</v>
      </c>
      <c r="D63" s="45"/>
      <c r="E63" s="46"/>
      <c r="F63" s="46">
        <f>IF('計画数(10分毎)'!$M$2=A63,'計画数(10分毎)'!$P$2,0)</f>
        <v>0</v>
      </c>
      <c r="G63" s="46" t="str">
        <f t="shared" si="12"/>
        <v>-</v>
      </c>
      <c r="H63" s="46" t="str">
        <f t="shared" si="13"/>
        <v>-</v>
      </c>
      <c r="I63" s="47" t="str">
        <f>IF(H63&lt;&gt;"-",H63*60/'計画数(10分毎)'!$I$2*80%,"-")</f>
        <v>-</v>
      </c>
      <c r="J63" s="46">
        <f>IF('計画数(10分毎)'!$M$3=A63,'計画数(10分毎)'!$P$3,0)</f>
        <v>0</v>
      </c>
      <c r="K63" s="46" t="str">
        <f t="shared" si="14"/>
        <v>-</v>
      </c>
      <c r="L63" s="46" t="str">
        <f t="shared" si="15"/>
        <v>-</v>
      </c>
      <c r="M63" s="47" t="str">
        <f>IF(L63&lt;&gt;"-",L63*60/'計画数(10分毎)'!$I$3*80%,"-")</f>
        <v>-</v>
      </c>
      <c r="N63" s="46">
        <f>IF('計画数(10分毎)'!$M$4=A63,'計画数(10分毎)'!$P$4,0)</f>
        <v>0</v>
      </c>
      <c r="O63" s="46" t="str">
        <f t="shared" si="16"/>
        <v>-</v>
      </c>
      <c r="P63" s="46" t="str">
        <f t="shared" si="17"/>
        <v>-</v>
      </c>
      <c r="Q63" s="47" t="str">
        <f>IF(P63&lt;&gt;"-",P63*60/'計画数(10分毎)'!$I$4*80%,"-")</f>
        <v>-</v>
      </c>
      <c r="R63" s="46">
        <f>IF('計画数(10分毎)'!$M$5=A63,'計画数(10分毎)'!$P$5,0)</f>
        <v>0</v>
      </c>
      <c r="S63" s="46" t="str">
        <f t="shared" si="18"/>
        <v>-</v>
      </c>
      <c r="T63" s="46" t="str">
        <f t="shared" si="19"/>
        <v>-</v>
      </c>
      <c r="U63" s="47" t="str">
        <f>IF(T63&lt;&gt;"-",T63*60/'計画数(10分毎)'!$I$5*80%,"-")</f>
        <v>-</v>
      </c>
      <c r="V63" s="46">
        <f>IF('計画数(10分毎)'!$M$6=A63,'計画数(10分毎)'!$P$6,0)</f>
        <v>0</v>
      </c>
      <c r="W63" s="46" t="str">
        <f t="shared" si="20"/>
        <v>-</v>
      </c>
      <c r="X63" s="46" t="str">
        <f t="shared" si="21"/>
        <v>-</v>
      </c>
      <c r="Y63" s="47" t="str">
        <f>IF(X63&lt;&gt;"-",X63*60/'計画数(10分毎)'!$I$6*80%,"-")</f>
        <v>-</v>
      </c>
      <c r="Z63" s="47" t="str">
        <f t="shared" si="22"/>
        <v>-</v>
      </c>
      <c r="AA63" s="47">
        <f t="shared" si="23"/>
        <v>0</v>
      </c>
      <c r="AB63" s="48"/>
      <c r="AC63" s="46"/>
      <c r="AD63" s="46"/>
      <c r="AE63" s="46"/>
      <c r="AF63" s="49"/>
    </row>
    <row r="64" spans="1:32" x14ac:dyDescent="0.3">
      <c r="A64" s="36">
        <v>57</v>
      </c>
      <c r="B64" s="81"/>
      <c r="C64" s="50">
        <v>0.68055555555555547</v>
      </c>
      <c r="D64" s="51"/>
      <c r="E64" s="52"/>
      <c r="F64" s="53">
        <f>IF('計画数(10分毎)'!$M$2=A64,'計画数(10分毎)'!$P$2,0)</f>
        <v>0</v>
      </c>
      <c r="G64" s="53" t="str">
        <f t="shared" si="12"/>
        <v>-</v>
      </c>
      <c r="H64" s="53" t="str">
        <f t="shared" si="13"/>
        <v>-</v>
      </c>
      <c r="I64" s="54" t="str">
        <f>IF(H64&lt;&gt;"-",H64*60/'計画数(10分毎)'!$I$2*80%,"-")</f>
        <v>-</v>
      </c>
      <c r="J64" s="53">
        <f>IF('計画数(10分毎)'!$M$3=A64,'計画数(10分毎)'!$P$3,0)</f>
        <v>0</v>
      </c>
      <c r="K64" s="53" t="str">
        <f t="shared" si="14"/>
        <v>-</v>
      </c>
      <c r="L64" s="53" t="str">
        <f t="shared" si="15"/>
        <v>-</v>
      </c>
      <c r="M64" s="54" t="str">
        <f>IF(L64&lt;&gt;"-",L64*60/'計画数(10分毎)'!$I$3*80%,"-")</f>
        <v>-</v>
      </c>
      <c r="N64" s="53">
        <f>IF('計画数(10分毎)'!$M$4=A64,'計画数(10分毎)'!$P$4,0)</f>
        <v>0</v>
      </c>
      <c r="O64" s="53" t="str">
        <f t="shared" si="16"/>
        <v>-</v>
      </c>
      <c r="P64" s="53" t="str">
        <f t="shared" si="17"/>
        <v>-</v>
      </c>
      <c r="Q64" s="54" t="str">
        <f>IF(P64&lt;&gt;"-",P64*60/'計画数(10分毎)'!$I$4*80%,"-")</f>
        <v>-</v>
      </c>
      <c r="R64" s="53">
        <f>IF('計画数(10分毎)'!$M$5=A64,'計画数(10分毎)'!$P$5,0)</f>
        <v>0</v>
      </c>
      <c r="S64" s="53" t="str">
        <f t="shared" si="18"/>
        <v>-</v>
      </c>
      <c r="T64" s="53" t="str">
        <f t="shared" si="19"/>
        <v>-</v>
      </c>
      <c r="U64" s="54" t="str">
        <f>IF(T64&lt;&gt;"-",T64*60/'計画数(10分毎)'!$I$5*80%,"-")</f>
        <v>-</v>
      </c>
      <c r="V64" s="53">
        <f>IF('計画数(10分毎)'!$M$6=A64,'計画数(10分毎)'!$P$6,0)</f>
        <v>0</v>
      </c>
      <c r="W64" s="53" t="str">
        <f t="shared" si="20"/>
        <v>-</v>
      </c>
      <c r="X64" s="53" t="str">
        <f t="shared" si="21"/>
        <v>-</v>
      </c>
      <c r="Y64" s="54" t="str">
        <f>IF(X64&lt;&gt;"-",X64*60/'計画数(10分毎)'!$I$6*80%,"-")</f>
        <v>-</v>
      </c>
      <c r="Z64" s="54" t="str">
        <f t="shared" si="22"/>
        <v>-</v>
      </c>
      <c r="AA64" s="54">
        <f t="shared" si="23"/>
        <v>0</v>
      </c>
      <c r="AB64" s="55"/>
      <c r="AC64" s="52"/>
      <c r="AD64" s="52"/>
      <c r="AE64" s="52"/>
      <c r="AF64" s="56"/>
    </row>
    <row r="65" spans="1:32" x14ac:dyDescent="0.3">
      <c r="A65" s="36">
        <v>58</v>
      </c>
      <c r="B65" s="81"/>
      <c r="C65" s="44">
        <v>0.6875</v>
      </c>
      <c r="D65" s="38"/>
      <c r="E65" s="40"/>
      <c r="F65" s="40">
        <f>IF('計画数(10分毎)'!$M$2=A65,'計画数(10分毎)'!$P$2,0)</f>
        <v>0</v>
      </c>
      <c r="G65" s="40" t="str">
        <f t="shared" si="12"/>
        <v>-</v>
      </c>
      <c r="H65" s="40" t="str">
        <f t="shared" si="13"/>
        <v>-</v>
      </c>
      <c r="I65" s="41" t="str">
        <f>IF(H65&lt;&gt;"-",H65*60/'計画数(10分毎)'!$I$2*80%,"-")</f>
        <v>-</v>
      </c>
      <c r="J65" s="40">
        <f>IF('計画数(10分毎)'!$M$3=A65,'計画数(10分毎)'!$P$3,0)</f>
        <v>0</v>
      </c>
      <c r="K65" s="40" t="str">
        <f t="shared" si="14"/>
        <v>-</v>
      </c>
      <c r="L65" s="40" t="str">
        <f t="shared" si="15"/>
        <v>-</v>
      </c>
      <c r="M65" s="41" t="str">
        <f>IF(L65&lt;&gt;"-",L65*60/'計画数(10分毎)'!$I$3*80%,"-")</f>
        <v>-</v>
      </c>
      <c r="N65" s="40">
        <f>IF('計画数(10分毎)'!$M$4=A65,'計画数(10分毎)'!$P$4,0)</f>
        <v>0</v>
      </c>
      <c r="O65" s="40" t="str">
        <f t="shared" si="16"/>
        <v>-</v>
      </c>
      <c r="P65" s="40" t="str">
        <f t="shared" si="17"/>
        <v>-</v>
      </c>
      <c r="Q65" s="41" t="str">
        <f>IF(P65&lt;&gt;"-",P65*60/'計画数(10分毎)'!$I$4*80%,"-")</f>
        <v>-</v>
      </c>
      <c r="R65" s="40">
        <f>IF('計画数(10分毎)'!$M$5=A65,'計画数(10分毎)'!$P$5,0)</f>
        <v>0</v>
      </c>
      <c r="S65" s="40" t="str">
        <f t="shared" si="18"/>
        <v>-</v>
      </c>
      <c r="T65" s="40" t="str">
        <f t="shared" si="19"/>
        <v>-</v>
      </c>
      <c r="U65" s="41" t="str">
        <f>IF(T65&lt;&gt;"-",T65*60/'計画数(10分毎)'!$I$5*80%,"-")</f>
        <v>-</v>
      </c>
      <c r="V65" s="40">
        <f>IF('計画数(10分毎)'!$M$6=A65,'計画数(10分毎)'!$P$6,0)</f>
        <v>0</v>
      </c>
      <c r="W65" s="40" t="str">
        <f t="shared" si="20"/>
        <v>-</v>
      </c>
      <c r="X65" s="40" t="str">
        <f t="shared" si="21"/>
        <v>-</v>
      </c>
      <c r="Y65" s="41" t="str">
        <f>IF(X65&lt;&gt;"-",X65*60/'計画数(10分毎)'!$I$6*80%,"-")</f>
        <v>-</v>
      </c>
      <c r="Z65" s="41" t="str">
        <f t="shared" si="22"/>
        <v>-</v>
      </c>
      <c r="AA65" s="41">
        <f t="shared" si="23"/>
        <v>0</v>
      </c>
      <c r="AB65" s="42"/>
      <c r="AC65" s="40"/>
      <c r="AD65" s="40"/>
      <c r="AE65" s="40"/>
      <c r="AF65" s="43"/>
    </row>
    <row r="66" spans="1:32" x14ac:dyDescent="0.3">
      <c r="A66" s="36">
        <v>59</v>
      </c>
      <c r="B66" s="81"/>
      <c r="C66" s="44">
        <v>0.69444444444444453</v>
      </c>
      <c r="D66" s="45"/>
      <c r="E66" s="46"/>
      <c r="F66" s="46">
        <f>IF('計画数(10分毎)'!$M$2=A66,'計画数(10分毎)'!$P$2,0)</f>
        <v>0</v>
      </c>
      <c r="G66" s="46" t="str">
        <f t="shared" si="12"/>
        <v>-</v>
      </c>
      <c r="H66" s="46" t="str">
        <f t="shared" si="13"/>
        <v>-</v>
      </c>
      <c r="I66" s="47" t="str">
        <f>IF(H66&lt;&gt;"-",H66*60/'計画数(10分毎)'!$I$2*80%,"-")</f>
        <v>-</v>
      </c>
      <c r="J66" s="46">
        <f>IF('計画数(10分毎)'!$M$3=A66,'計画数(10分毎)'!$P$3,0)</f>
        <v>0</v>
      </c>
      <c r="K66" s="46" t="str">
        <f t="shared" si="14"/>
        <v>-</v>
      </c>
      <c r="L66" s="46" t="str">
        <f t="shared" si="15"/>
        <v>-</v>
      </c>
      <c r="M66" s="47" t="str">
        <f>IF(L66&lt;&gt;"-",L66*60/'計画数(10分毎)'!$I$3*80%,"-")</f>
        <v>-</v>
      </c>
      <c r="N66" s="46">
        <f>IF('計画数(10分毎)'!$M$4=A66,'計画数(10分毎)'!$P$4,0)</f>
        <v>0</v>
      </c>
      <c r="O66" s="46" t="str">
        <f t="shared" si="16"/>
        <v>-</v>
      </c>
      <c r="P66" s="46" t="str">
        <f t="shared" si="17"/>
        <v>-</v>
      </c>
      <c r="Q66" s="47" t="str">
        <f>IF(P66&lt;&gt;"-",P66*60/'計画数(10分毎)'!$I$4*80%,"-")</f>
        <v>-</v>
      </c>
      <c r="R66" s="46">
        <f>IF('計画数(10分毎)'!$M$5=A66,'計画数(10分毎)'!$P$5,0)</f>
        <v>0</v>
      </c>
      <c r="S66" s="46" t="str">
        <f t="shared" si="18"/>
        <v>-</v>
      </c>
      <c r="T66" s="46" t="str">
        <f t="shared" si="19"/>
        <v>-</v>
      </c>
      <c r="U66" s="47" t="str">
        <f>IF(T66&lt;&gt;"-",T66*60/'計画数(10分毎)'!$I$5*80%,"-")</f>
        <v>-</v>
      </c>
      <c r="V66" s="46">
        <f>IF('計画数(10分毎)'!$M$6=A66,'計画数(10分毎)'!$P$6,0)</f>
        <v>0</v>
      </c>
      <c r="W66" s="46" t="str">
        <f t="shared" si="20"/>
        <v>-</v>
      </c>
      <c r="X66" s="46" t="str">
        <f t="shared" si="21"/>
        <v>-</v>
      </c>
      <c r="Y66" s="47" t="str">
        <f>IF(X66&lt;&gt;"-",X66*60/'計画数(10分毎)'!$I$6*80%,"-")</f>
        <v>-</v>
      </c>
      <c r="Z66" s="47" t="str">
        <f t="shared" si="22"/>
        <v>-</v>
      </c>
      <c r="AA66" s="47">
        <f t="shared" si="23"/>
        <v>0</v>
      </c>
      <c r="AB66" s="48"/>
      <c r="AC66" s="46"/>
      <c r="AD66" s="46"/>
      <c r="AE66" s="46"/>
      <c r="AF66" s="49"/>
    </row>
    <row r="67" spans="1:32" x14ac:dyDescent="0.3">
      <c r="A67" s="36">
        <v>60</v>
      </c>
      <c r="B67" s="82"/>
      <c r="C67" s="44">
        <v>0.70138888888888884</v>
      </c>
      <c r="D67" s="59"/>
      <c r="E67" s="52"/>
      <c r="F67" s="53">
        <f>IF('計画数(10分毎)'!$M$2=A67,'計画数(10分毎)'!$P$2,0)</f>
        <v>0</v>
      </c>
      <c r="G67" s="53" t="str">
        <f t="shared" si="12"/>
        <v>-</v>
      </c>
      <c r="H67" s="53" t="str">
        <f t="shared" si="13"/>
        <v>-</v>
      </c>
      <c r="I67" s="54" t="str">
        <f>IF(H67&lt;&gt;"-",H67*60/'計画数(10分毎)'!$I$2*80%,"-")</f>
        <v>-</v>
      </c>
      <c r="J67" s="53">
        <f>IF('計画数(10分毎)'!$M$3=A67,'計画数(10分毎)'!$P$3,0)</f>
        <v>0</v>
      </c>
      <c r="K67" s="53" t="str">
        <f t="shared" si="14"/>
        <v>-</v>
      </c>
      <c r="L67" s="53" t="str">
        <f t="shared" si="15"/>
        <v>-</v>
      </c>
      <c r="M67" s="54" t="str">
        <f>IF(L67&lt;&gt;"-",L67*60/'計画数(10分毎)'!$I$3*80%,"-")</f>
        <v>-</v>
      </c>
      <c r="N67" s="53">
        <f>IF('計画数(10分毎)'!$M$4=A67,'計画数(10分毎)'!$P$4,0)</f>
        <v>0</v>
      </c>
      <c r="O67" s="53" t="str">
        <f t="shared" si="16"/>
        <v>-</v>
      </c>
      <c r="P67" s="53" t="str">
        <f t="shared" si="17"/>
        <v>-</v>
      </c>
      <c r="Q67" s="54" t="str">
        <f>IF(P67&lt;&gt;"-",P67*60/'計画数(10分毎)'!$I$4*80%,"-")</f>
        <v>-</v>
      </c>
      <c r="R67" s="53">
        <f>IF('計画数(10分毎)'!$M$5=A67,'計画数(10分毎)'!$P$5,0)</f>
        <v>0</v>
      </c>
      <c r="S67" s="53" t="str">
        <f t="shared" si="18"/>
        <v>-</v>
      </c>
      <c r="T67" s="53" t="str">
        <f t="shared" si="19"/>
        <v>-</v>
      </c>
      <c r="U67" s="54" t="str">
        <f>IF(T67&lt;&gt;"-",T67*60/'計画数(10分毎)'!$I$5*80%,"-")</f>
        <v>-</v>
      </c>
      <c r="V67" s="53">
        <f>IF('計画数(10分毎)'!$M$6=A67,'計画数(10分毎)'!$P$6,0)</f>
        <v>0</v>
      </c>
      <c r="W67" s="53" t="str">
        <f t="shared" si="20"/>
        <v>-</v>
      </c>
      <c r="X67" s="53" t="str">
        <f t="shared" si="21"/>
        <v>-</v>
      </c>
      <c r="Y67" s="54" t="str">
        <f>IF(X67&lt;&gt;"-",X67*60/'計画数(10分毎)'!$I$6*80%,"-")</f>
        <v>-</v>
      </c>
      <c r="Z67" s="54" t="str">
        <f t="shared" si="22"/>
        <v>-</v>
      </c>
      <c r="AA67" s="54">
        <f t="shared" si="23"/>
        <v>0</v>
      </c>
      <c r="AB67" s="55"/>
      <c r="AC67" s="52"/>
      <c r="AD67" s="52"/>
      <c r="AE67" s="52"/>
      <c r="AF67" s="56"/>
    </row>
    <row r="68" spans="1:32" x14ac:dyDescent="0.3">
      <c r="A68" s="36">
        <v>61</v>
      </c>
      <c r="B68" s="80">
        <v>0.70833333333333304</v>
      </c>
      <c r="C68" s="37">
        <v>0.70833333333333337</v>
      </c>
      <c r="D68" s="60"/>
      <c r="E68" s="40"/>
      <c r="F68" s="40">
        <f>IF('計画数(10分毎)'!$M$2=A68,'計画数(10分毎)'!$P$2,0)</f>
        <v>0</v>
      </c>
      <c r="G68" s="40" t="str">
        <f t="shared" si="12"/>
        <v>-</v>
      </c>
      <c r="H68" s="40" t="str">
        <f t="shared" si="13"/>
        <v>-</v>
      </c>
      <c r="I68" s="41" t="str">
        <f>IF(H68&lt;&gt;"-",H68*60/'計画数(10分毎)'!$I$2*80%,"-")</f>
        <v>-</v>
      </c>
      <c r="J68" s="40">
        <f>IF('計画数(10分毎)'!$M$3=A68,'計画数(10分毎)'!$P$3,0)</f>
        <v>0</v>
      </c>
      <c r="K68" s="40" t="str">
        <f t="shared" si="14"/>
        <v>-</v>
      </c>
      <c r="L68" s="40" t="str">
        <f t="shared" si="15"/>
        <v>-</v>
      </c>
      <c r="M68" s="41" t="str">
        <f>IF(L68&lt;&gt;"-",L68*60/'計画数(10分毎)'!$I$3*80%,"-")</f>
        <v>-</v>
      </c>
      <c r="N68" s="40">
        <f>IF('計画数(10分毎)'!$M$4=A68,'計画数(10分毎)'!$P$4,0)</f>
        <v>0</v>
      </c>
      <c r="O68" s="40" t="str">
        <f t="shared" si="16"/>
        <v>-</v>
      </c>
      <c r="P68" s="40" t="str">
        <f t="shared" si="17"/>
        <v>-</v>
      </c>
      <c r="Q68" s="41" t="str">
        <f>IF(P68&lt;&gt;"-",P68*60/'計画数(10分毎)'!$I$4*80%,"-")</f>
        <v>-</v>
      </c>
      <c r="R68" s="40">
        <f>IF('計画数(10分毎)'!$M$5=A68,'計画数(10分毎)'!$P$5,0)</f>
        <v>0</v>
      </c>
      <c r="S68" s="40" t="str">
        <f t="shared" si="18"/>
        <v>-</v>
      </c>
      <c r="T68" s="40" t="str">
        <f t="shared" si="19"/>
        <v>-</v>
      </c>
      <c r="U68" s="41" t="str">
        <f>IF(T68&lt;&gt;"-",T68*60/'計画数(10分毎)'!$I$5*80%,"-")</f>
        <v>-</v>
      </c>
      <c r="V68" s="40">
        <f>IF('計画数(10分毎)'!$M$6=A68,'計画数(10分毎)'!$P$6,0)</f>
        <v>0</v>
      </c>
      <c r="W68" s="40" t="str">
        <f t="shared" si="20"/>
        <v>-</v>
      </c>
      <c r="X68" s="40" t="str">
        <f t="shared" si="21"/>
        <v>-</v>
      </c>
      <c r="Y68" s="41" t="str">
        <f>IF(X68&lt;&gt;"-",X68*60/'計画数(10分毎)'!$I$6*80%,"-")</f>
        <v>-</v>
      </c>
      <c r="Z68" s="41" t="str">
        <f t="shared" si="22"/>
        <v>-</v>
      </c>
      <c r="AA68" s="41">
        <f t="shared" si="23"/>
        <v>0</v>
      </c>
      <c r="AB68" s="42"/>
      <c r="AC68" s="40"/>
      <c r="AD68" s="40"/>
      <c r="AE68" s="40"/>
      <c r="AF68" s="43"/>
    </row>
    <row r="69" spans="1:32" x14ac:dyDescent="0.3">
      <c r="A69" s="36">
        <v>62</v>
      </c>
      <c r="B69" s="81"/>
      <c r="C69" s="44">
        <v>0.71527777777777779</v>
      </c>
      <c r="D69" s="45"/>
      <c r="E69" s="46"/>
      <c r="F69" s="46">
        <f>IF('計画数(10分毎)'!$M$2=A69,'計画数(10分毎)'!$P$2,0)</f>
        <v>0</v>
      </c>
      <c r="G69" s="46" t="str">
        <f t="shared" si="12"/>
        <v>-</v>
      </c>
      <c r="H69" s="46" t="str">
        <f t="shared" si="13"/>
        <v>-</v>
      </c>
      <c r="I69" s="47" t="str">
        <f>IF(H69&lt;&gt;"-",H69*60/'計画数(10分毎)'!$I$2*80%,"-")</f>
        <v>-</v>
      </c>
      <c r="J69" s="46">
        <f>IF('計画数(10分毎)'!$M$3=A69,'計画数(10分毎)'!$P$3,0)</f>
        <v>0</v>
      </c>
      <c r="K69" s="46" t="str">
        <f t="shared" si="14"/>
        <v>-</v>
      </c>
      <c r="L69" s="46" t="str">
        <f t="shared" si="15"/>
        <v>-</v>
      </c>
      <c r="M69" s="47" t="str">
        <f>IF(L69&lt;&gt;"-",L69*60/'計画数(10分毎)'!$I$3*80%,"-")</f>
        <v>-</v>
      </c>
      <c r="N69" s="46">
        <f>IF('計画数(10分毎)'!$M$4=A69,'計画数(10分毎)'!$P$4,0)</f>
        <v>0</v>
      </c>
      <c r="O69" s="46" t="str">
        <f t="shared" si="16"/>
        <v>-</v>
      </c>
      <c r="P69" s="46" t="str">
        <f t="shared" si="17"/>
        <v>-</v>
      </c>
      <c r="Q69" s="47" t="str">
        <f>IF(P69&lt;&gt;"-",P69*60/'計画数(10分毎)'!$I$4*80%,"-")</f>
        <v>-</v>
      </c>
      <c r="R69" s="46">
        <f>IF('計画数(10分毎)'!$M$5=A69,'計画数(10分毎)'!$P$5,0)</f>
        <v>0</v>
      </c>
      <c r="S69" s="46" t="str">
        <f t="shared" si="18"/>
        <v>-</v>
      </c>
      <c r="T69" s="46" t="str">
        <f t="shared" si="19"/>
        <v>-</v>
      </c>
      <c r="U69" s="47" t="str">
        <f>IF(T69&lt;&gt;"-",T69*60/'計画数(10分毎)'!$I$5*80%,"-")</f>
        <v>-</v>
      </c>
      <c r="V69" s="46">
        <f>IF('計画数(10分毎)'!$M$6=A69,'計画数(10分毎)'!$P$6,0)</f>
        <v>0</v>
      </c>
      <c r="W69" s="46" t="str">
        <f t="shared" si="20"/>
        <v>-</v>
      </c>
      <c r="X69" s="46" t="str">
        <f t="shared" si="21"/>
        <v>-</v>
      </c>
      <c r="Y69" s="47" t="str">
        <f>IF(X69&lt;&gt;"-",X69*60/'計画数(10分毎)'!$I$6*80%,"-")</f>
        <v>-</v>
      </c>
      <c r="Z69" s="47" t="str">
        <f t="shared" si="22"/>
        <v>-</v>
      </c>
      <c r="AA69" s="47">
        <f t="shared" si="23"/>
        <v>0</v>
      </c>
      <c r="AB69" s="48"/>
      <c r="AC69" s="46"/>
      <c r="AD69" s="46"/>
      <c r="AE69" s="46"/>
      <c r="AF69" s="49"/>
    </row>
    <row r="70" spans="1:32" x14ac:dyDescent="0.3">
      <c r="A70" s="36">
        <v>63</v>
      </c>
      <c r="B70" s="81"/>
      <c r="C70" s="50">
        <v>0.72222222222222221</v>
      </c>
      <c r="D70" s="51"/>
      <c r="E70" s="52"/>
      <c r="F70" s="53">
        <f>IF('計画数(10分毎)'!$M$2=A70,'計画数(10分毎)'!$P$2,0)</f>
        <v>0</v>
      </c>
      <c r="G70" s="53" t="str">
        <f t="shared" si="12"/>
        <v>-</v>
      </c>
      <c r="H70" s="53" t="str">
        <f t="shared" si="13"/>
        <v>-</v>
      </c>
      <c r="I70" s="54" t="str">
        <f>IF(H70&lt;&gt;"-",H70*60/'計画数(10分毎)'!$I$2*80%,"-")</f>
        <v>-</v>
      </c>
      <c r="J70" s="53">
        <f>IF('計画数(10分毎)'!$M$3=A70,'計画数(10分毎)'!$P$3,0)</f>
        <v>0</v>
      </c>
      <c r="K70" s="53" t="str">
        <f t="shared" si="14"/>
        <v>-</v>
      </c>
      <c r="L70" s="53" t="str">
        <f t="shared" si="15"/>
        <v>-</v>
      </c>
      <c r="M70" s="54" t="str">
        <f>IF(L70&lt;&gt;"-",L70*60/'計画数(10分毎)'!$I$3*80%,"-")</f>
        <v>-</v>
      </c>
      <c r="N70" s="53">
        <f>IF('計画数(10分毎)'!$M$4=A70,'計画数(10分毎)'!$P$4,0)</f>
        <v>0</v>
      </c>
      <c r="O70" s="53" t="str">
        <f t="shared" si="16"/>
        <v>-</v>
      </c>
      <c r="P70" s="53" t="str">
        <f t="shared" si="17"/>
        <v>-</v>
      </c>
      <c r="Q70" s="54" t="str">
        <f>IF(P70&lt;&gt;"-",P70*60/'計画数(10分毎)'!$I$4*80%,"-")</f>
        <v>-</v>
      </c>
      <c r="R70" s="53">
        <f>IF('計画数(10分毎)'!$M$5=A70,'計画数(10分毎)'!$P$5,0)</f>
        <v>0</v>
      </c>
      <c r="S70" s="53" t="str">
        <f t="shared" si="18"/>
        <v>-</v>
      </c>
      <c r="T70" s="53" t="str">
        <f t="shared" si="19"/>
        <v>-</v>
      </c>
      <c r="U70" s="54" t="str">
        <f>IF(T70&lt;&gt;"-",T70*60/'計画数(10分毎)'!$I$5*80%,"-")</f>
        <v>-</v>
      </c>
      <c r="V70" s="53">
        <f>IF('計画数(10分毎)'!$M$6=A70,'計画数(10分毎)'!$P$6,0)</f>
        <v>0</v>
      </c>
      <c r="W70" s="53" t="str">
        <f t="shared" si="20"/>
        <v>-</v>
      </c>
      <c r="X70" s="53" t="str">
        <f t="shared" si="21"/>
        <v>-</v>
      </c>
      <c r="Y70" s="54" t="str">
        <f>IF(X70&lt;&gt;"-",X70*60/'計画数(10分毎)'!$I$6*80%,"-")</f>
        <v>-</v>
      </c>
      <c r="Z70" s="54" t="str">
        <f t="shared" si="22"/>
        <v>-</v>
      </c>
      <c r="AA70" s="54">
        <f t="shared" si="23"/>
        <v>0</v>
      </c>
      <c r="AB70" s="55"/>
      <c r="AC70" s="52"/>
      <c r="AD70" s="52"/>
      <c r="AE70" s="52"/>
      <c r="AF70" s="56"/>
    </row>
    <row r="71" spans="1:32" x14ac:dyDescent="0.3">
      <c r="A71" s="36">
        <v>64</v>
      </c>
      <c r="B71" s="81"/>
      <c r="C71" s="37">
        <v>0.72916666666666663</v>
      </c>
      <c r="D71" s="38"/>
      <c r="E71" s="40"/>
      <c r="F71" s="40">
        <f>IF('計画数(10分毎)'!$M$2=A71,'計画数(10分毎)'!$P$2,0)</f>
        <v>0</v>
      </c>
      <c r="G71" s="40" t="str">
        <f t="shared" si="12"/>
        <v>-</v>
      </c>
      <c r="H71" s="40" t="str">
        <f t="shared" si="13"/>
        <v>-</v>
      </c>
      <c r="I71" s="41" t="str">
        <f>IF(H71&lt;&gt;"-",H71*60/'計画数(10分毎)'!$I$2*80%,"-")</f>
        <v>-</v>
      </c>
      <c r="J71" s="40">
        <f>IF('計画数(10分毎)'!$M$3=A71,'計画数(10分毎)'!$P$3,0)</f>
        <v>0</v>
      </c>
      <c r="K71" s="40" t="str">
        <f t="shared" si="14"/>
        <v>-</v>
      </c>
      <c r="L71" s="40" t="str">
        <f t="shared" si="15"/>
        <v>-</v>
      </c>
      <c r="M71" s="41" t="str">
        <f>IF(L71&lt;&gt;"-",L71*60/'計画数(10分毎)'!$I$3*80%,"-")</f>
        <v>-</v>
      </c>
      <c r="N71" s="40">
        <f>IF('計画数(10分毎)'!$M$4=A71,'計画数(10分毎)'!$P$4,0)</f>
        <v>0</v>
      </c>
      <c r="O71" s="40" t="str">
        <f t="shared" si="16"/>
        <v>-</v>
      </c>
      <c r="P71" s="40" t="str">
        <f t="shared" si="17"/>
        <v>-</v>
      </c>
      <c r="Q71" s="41" t="str">
        <f>IF(P71&lt;&gt;"-",P71*60/'計画数(10分毎)'!$I$4*80%,"-")</f>
        <v>-</v>
      </c>
      <c r="R71" s="40">
        <f>IF('計画数(10分毎)'!$M$5=A71,'計画数(10分毎)'!$P$5,0)</f>
        <v>0</v>
      </c>
      <c r="S71" s="40" t="str">
        <f t="shared" si="18"/>
        <v>-</v>
      </c>
      <c r="T71" s="40" t="str">
        <f t="shared" si="19"/>
        <v>-</v>
      </c>
      <c r="U71" s="41" t="str">
        <f>IF(T71&lt;&gt;"-",T71*60/'計画数(10分毎)'!$I$5*80%,"-")</f>
        <v>-</v>
      </c>
      <c r="V71" s="40">
        <f>IF('計画数(10分毎)'!$M$6=A71,'計画数(10分毎)'!$P$6,0)</f>
        <v>0</v>
      </c>
      <c r="W71" s="40" t="str">
        <f t="shared" si="20"/>
        <v>-</v>
      </c>
      <c r="X71" s="40" t="str">
        <f t="shared" si="21"/>
        <v>-</v>
      </c>
      <c r="Y71" s="41" t="str">
        <f>IF(X71&lt;&gt;"-",X71*60/'計画数(10分毎)'!$I$6*80%,"-")</f>
        <v>-</v>
      </c>
      <c r="Z71" s="41" t="str">
        <f t="shared" si="22"/>
        <v>-</v>
      </c>
      <c r="AA71" s="41">
        <f t="shared" si="23"/>
        <v>0</v>
      </c>
      <c r="AB71" s="42"/>
      <c r="AC71" s="40"/>
      <c r="AD71" s="40"/>
      <c r="AE71" s="40"/>
      <c r="AF71" s="43"/>
    </row>
    <row r="72" spans="1:32" x14ac:dyDescent="0.3">
      <c r="A72" s="36">
        <v>65</v>
      </c>
      <c r="B72" s="81"/>
      <c r="C72" s="44">
        <v>0.73611111111111116</v>
      </c>
      <c r="D72" s="45"/>
      <c r="E72" s="46"/>
      <c r="F72" s="46">
        <f>IF('計画数(10分毎)'!$M$2=A72,'計画数(10分毎)'!$P$2,0)</f>
        <v>0</v>
      </c>
      <c r="G72" s="46" t="str">
        <f t="shared" si="12"/>
        <v>-</v>
      </c>
      <c r="H72" s="46" t="str">
        <f t="shared" si="13"/>
        <v>-</v>
      </c>
      <c r="I72" s="47" t="str">
        <f>IF(H72&lt;&gt;"-",H72*60/'計画数(10分毎)'!$I$2*80%,"-")</f>
        <v>-</v>
      </c>
      <c r="J72" s="46">
        <f>IF('計画数(10分毎)'!$M$3=A72,'計画数(10分毎)'!$P$3,0)</f>
        <v>0</v>
      </c>
      <c r="K72" s="46" t="str">
        <f t="shared" si="14"/>
        <v>-</v>
      </c>
      <c r="L72" s="46" t="str">
        <f t="shared" si="15"/>
        <v>-</v>
      </c>
      <c r="M72" s="47" t="str">
        <f>IF(L72&lt;&gt;"-",L72*60/'計画数(10分毎)'!$I$3*80%,"-")</f>
        <v>-</v>
      </c>
      <c r="N72" s="46">
        <f>IF('計画数(10分毎)'!$M$4=A72,'計画数(10分毎)'!$P$4,0)</f>
        <v>0</v>
      </c>
      <c r="O72" s="46" t="str">
        <f t="shared" si="16"/>
        <v>-</v>
      </c>
      <c r="P72" s="46" t="str">
        <f t="shared" si="17"/>
        <v>-</v>
      </c>
      <c r="Q72" s="47" t="str">
        <f>IF(P72&lt;&gt;"-",P72*60/'計画数(10分毎)'!$I$4*80%,"-")</f>
        <v>-</v>
      </c>
      <c r="R72" s="46">
        <f>IF('計画数(10分毎)'!$M$5=A72,'計画数(10分毎)'!$P$5,0)</f>
        <v>0</v>
      </c>
      <c r="S72" s="46" t="str">
        <f t="shared" si="18"/>
        <v>-</v>
      </c>
      <c r="T72" s="46" t="str">
        <f t="shared" si="19"/>
        <v>-</v>
      </c>
      <c r="U72" s="47" t="str">
        <f>IF(T72&lt;&gt;"-",T72*60/'計画数(10分毎)'!$I$5*80%,"-")</f>
        <v>-</v>
      </c>
      <c r="V72" s="46">
        <f>IF('計画数(10分毎)'!$M$6=A72,'計画数(10分毎)'!$P$6,0)</f>
        <v>0</v>
      </c>
      <c r="W72" s="46" t="str">
        <f t="shared" si="20"/>
        <v>-</v>
      </c>
      <c r="X72" s="46" t="str">
        <f t="shared" si="21"/>
        <v>-</v>
      </c>
      <c r="Y72" s="47" t="str">
        <f>IF(X72&lt;&gt;"-",X72*60/'計画数(10分毎)'!$I$6*80%,"-")</f>
        <v>-</v>
      </c>
      <c r="Z72" s="47" t="str">
        <f t="shared" si="22"/>
        <v>-</v>
      </c>
      <c r="AA72" s="47">
        <f t="shared" si="23"/>
        <v>0</v>
      </c>
      <c r="AB72" s="48"/>
      <c r="AC72" s="46"/>
      <c r="AD72" s="46"/>
      <c r="AE72" s="46"/>
      <c r="AF72" s="49"/>
    </row>
    <row r="73" spans="1:32" x14ac:dyDescent="0.3">
      <c r="A73" s="69">
        <v>66</v>
      </c>
      <c r="B73" s="82"/>
      <c r="C73" s="50">
        <v>0.74305555555555547</v>
      </c>
      <c r="D73" s="59"/>
      <c r="E73" s="52"/>
      <c r="F73" s="53">
        <f>IF('計画数(10分毎)'!$M$2=A73,'計画数(10分毎)'!$P$2,0)</f>
        <v>0</v>
      </c>
      <c r="G73" s="53" t="str">
        <f t="shared" si="12"/>
        <v>-</v>
      </c>
      <c r="H73" s="53" t="str">
        <f t="shared" si="13"/>
        <v>-</v>
      </c>
      <c r="I73" s="54" t="str">
        <f>IF(H73&lt;&gt;"-",H73*60/'計画数(10分毎)'!$I$2*80%,"-")</f>
        <v>-</v>
      </c>
      <c r="J73" s="53">
        <f>IF('計画数(10分毎)'!$M$3=A73,'計画数(10分毎)'!$P$3,0)</f>
        <v>0</v>
      </c>
      <c r="K73" s="53" t="str">
        <f t="shared" si="14"/>
        <v>-</v>
      </c>
      <c r="L73" s="53" t="str">
        <f t="shared" si="15"/>
        <v>-</v>
      </c>
      <c r="M73" s="54" t="str">
        <f>IF(L73&lt;&gt;"-",L73*60/'計画数(10分毎)'!$I$3*80%,"-")</f>
        <v>-</v>
      </c>
      <c r="N73" s="53">
        <f>IF('計画数(10分毎)'!$M$4=A73,'計画数(10分毎)'!$P$4,0)</f>
        <v>0</v>
      </c>
      <c r="O73" s="53" t="str">
        <f t="shared" si="16"/>
        <v>-</v>
      </c>
      <c r="P73" s="53" t="str">
        <f t="shared" si="17"/>
        <v>-</v>
      </c>
      <c r="Q73" s="54" t="str">
        <f>IF(P73&lt;&gt;"-",P73*60/'計画数(10分毎)'!$I$4*80%,"-")</f>
        <v>-</v>
      </c>
      <c r="R73" s="53">
        <f>IF('計画数(10分毎)'!$M$5=A73,'計画数(10分毎)'!$P$5,0)</f>
        <v>0</v>
      </c>
      <c r="S73" s="53" t="str">
        <f t="shared" si="18"/>
        <v>-</v>
      </c>
      <c r="T73" s="53" t="str">
        <f t="shared" si="19"/>
        <v>-</v>
      </c>
      <c r="U73" s="54" t="str">
        <f>IF(T73&lt;&gt;"-",T73*60/'計画数(10分毎)'!$I$5*80%,"-")</f>
        <v>-</v>
      </c>
      <c r="V73" s="53">
        <f>IF('計画数(10分毎)'!$M$6=A73,'計画数(10分毎)'!$P$6,0)</f>
        <v>0</v>
      </c>
      <c r="W73" s="53" t="str">
        <f t="shared" si="20"/>
        <v>-</v>
      </c>
      <c r="X73" s="53" t="str">
        <f t="shared" si="21"/>
        <v>-</v>
      </c>
      <c r="Y73" s="54" t="str">
        <f>IF(X73&lt;&gt;"-",X73*60/'計画数(10分毎)'!$I$6*80%,"-")</f>
        <v>-</v>
      </c>
      <c r="Z73" s="54" t="str">
        <f t="shared" si="22"/>
        <v>-</v>
      </c>
      <c r="AA73" s="54">
        <f t="shared" si="23"/>
        <v>0</v>
      </c>
      <c r="AB73" s="55"/>
      <c r="AC73" s="52"/>
      <c r="AD73" s="52"/>
      <c r="AE73" s="52"/>
      <c r="AF73" s="56"/>
    </row>
    <row r="74" spans="1:32" ht="7.5" customHeight="1" x14ac:dyDescent="0.3"/>
    <row r="75" spans="1:32" x14ac:dyDescent="0.3">
      <c r="B75" s="74" t="s">
        <v>80</v>
      </c>
    </row>
  </sheetData>
  <mergeCells count="28">
    <mergeCell ref="B44:B49"/>
    <mergeCell ref="B50:B55"/>
    <mergeCell ref="B56:B61"/>
    <mergeCell ref="B62:B67"/>
    <mergeCell ref="B68:B73"/>
    <mergeCell ref="B2:AF2"/>
    <mergeCell ref="B8:B13"/>
    <mergeCell ref="B14:B19"/>
    <mergeCell ref="B20:B25"/>
    <mergeCell ref="B26:B31"/>
    <mergeCell ref="B32:B37"/>
    <mergeCell ref="B38:B43"/>
    <mergeCell ref="AI7:AI8"/>
    <mergeCell ref="AJ7:AJ8"/>
    <mergeCell ref="AK7:AK8"/>
    <mergeCell ref="AL7:AL8"/>
    <mergeCell ref="AM7:AM8"/>
    <mergeCell ref="AN7:AN8"/>
    <mergeCell ref="AO7:AO8"/>
    <mergeCell ref="AP7:AP8"/>
    <mergeCell ref="AV7:AV8"/>
    <mergeCell ref="AW7:AW8"/>
    <mergeCell ref="AX7:AX8"/>
    <mergeCell ref="AQ7:AQ8"/>
    <mergeCell ref="AR7:AR8"/>
    <mergeCell ref="AS7:AS8"/>
    <mergeCell ref="AT7:AT8"/>
    <mergeCell ref="AU7:AU8"/>
  </mergeCells>
  <phoneticPr fontId="1"/>
  <dataValidations count="2">
    <dataValidation type="list" allowBlank="1" showInputMessage="1" showErrorMessage="1" sqref="D4" xr:uid="{8D7F54CE-8A32-4325-9ACA-CBF7FA606EE8}">
      <formula1>"A,B"</formula1>
    </dataValidation>
    <dataValidation type="list" allowBlank="1" showInputMessage="1" showErrorMessage="1" sqref="AF4" xr:uid="{61B12DA4-02ED-4480-B321-0CB902ED3423}">
      <formula1>"青,黄,緑"</formula1>
    </dataValidation>
  </dataValidations>
  <pageMargins left="0.7" right="0.7" top="0.75" bottom="0.75" header="0.3" footer="0.3"/>
  <pageSetup paperSize="8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E02D6-A8EF-4AFC-B36F-5046ADBEF8E6}">
  <sheetPr codeName="Sheet15"/>
  <dimension ref="A1:AG1172"/>
  <sheetViews>
    <sheetView workbookViewId="0">
      <selection activeCell="Z7" sqref="Z7"/>
    </sheetView>
  </sheetViews>
  <sheetFormatPr defaultColWidth="8.6328125" defaultRowHeight="15" x14ac:dyDescent="0.3"/>
  <cols>
    <col min="1" max="1" width="10.36328125" style="1" customWidth="1"/>
    <col min="2" max="2" width="25.6328125" style="2" customWidth="1"/>
    <col min="3" max="3" width="26.6328125" style="2" hidden="1" customWidth="1"/>
    <col min="4" max="4" width="10.36328125" style="1" customWidth="1"/>
    <col min="5" max="5" width="4" style="1" customWidth="1"/>
    <col min="6" max="6" width="12.36328125" style="1" bestFit="1" customWidth="1"/>
    <col min="7" max="7" width="21.453125" style="1" customWidth="1"/>
    <col min="8" max="9" width="10.36328125" style="1" customWidth="1"/>
    <col min="10" max="10" width="14" style="3" customWidth="1"/>
    <col min="11" max="16" width="10.36328125" style="3" customWidth="1"/>
    <col min="17" max="18" width="8.6328125" style="1"/>
    <col min="19" max="19" width="13.26953125" style="1" customWidth="1"/>
    <col min="20" max="23" width="10.36328125" style="1" customWidth="1"/>
    <col min="24" max="24" width="10.36328125" style="4" customWidth="1"/>
    <col min="25" max="25" width="10.7265625" style="5" bestFit="1" customWidth="1"/>
    <col min="26" max="26" width="10.7265625" style="6" customWidth="1"/>
    <col min="27" max="27" width="10.36328125" style="1" customWidth="1"/>
    <col min="28" max="30" width="10.36328125" style="3" customWidth="1"/>
    <col min="31" max="33" width="10.36328125" style="1" customWidth="1"/>
    <col min="34" max="16384" width="8.6328125" style="1"/>
  </cols>
  <sheetData>
    <row r="1" spans="1:33" ht="15.6" thickBot="1" x14ac:dyDescent="0.35">
      <c r="A1" s="1" t="s">
        <v>12</v>
      </c>
      <c r="B1" s="2" t="s">
        <v>13</v>
      </c>
      <c r="C1" s="2" t="s">
        <v>14</v>
      </c>
      <c r="D1" s="1" t="s">
        <v>15</v>
      </c>
      <c r="F1" s="1" t="s">
        <v>12</v>
      </c>
      <c r="G1" s="1" t="s">
        <v>13</v>
      </c>
      <c r="H1" s="1" t="s">
        <v>14</v>
      </c>
      <c r="I1" s="1" t="s">
        <v>16</v>
      </c>
      <c r="J1" s="3" t="s">
        <v>17</v>
      </c>
      <c r="M1" s="3" t="s">
        <v>18</v>
      </c>
      <c r="N1" s="3" t="s">
        <v>19</v>
      </c>
      <c r="W1" s="1" t="s">
        <v>20</v>
      </c>
      <c r="X1" s="4" t="s">
        <v>21</v>
      </c>
      <c r="Y1" s="5" t="s">
        <v>22</v>
      </c>
      <c r="AB1" s="3" t="s">
        <v>23</v>
      </c>
      <c r="AE1" s="1" t="s">
        <v>18</v>
      </c>
      <c r="AF1" s="1" t="s">
        <v>24</v>
      </c>
      <c r="AG1" s="1" t="s">
        <v>19</v>
      </c>
    </row>
    <row r="2" spans="1:33" x14ac:dyDescent="0.3">
      <c r="A2" s="1" t="s">
        <v>25</v>
      </c>
      <c r="B2" s="2" t="s">
        <v>26</v>
      </c>
      <c r="C2" s="2" t="str">
        <f>CONCATENATE(A2,"-",B2)</f>
        <v>B-1-830060-7ROFSH2-T2Z</v>
      </c>
      <c r="D2" s="1">
        <v>16.649999999999999</v>
      </c>
      <c r="F2" s="7" t="str">
        <f>$A$2</f>
        <v>B-1</v>
      </c>
      <c r="G2" s="8"/>
      <c r="H2" s="1" t="str">
        <f>CONCATENATE(F2,"-",G2)</f>
        <v>B-1-</v>
      </c>
      <c r="I2" s="1" t="e">
        <f>VLOOKUP(H2,C:D,2,FALSE)</f>
        <v>#N/A</v>
      </c>
      <c r="J2" s="9"/>
      <c r="K2" s="3" t="str">
        <f>TEXT(J2,"hh:mm")</f>
        <v>00:00</v>
      </c>
      <c r="L2" s="3">
        <f>VALUE(K2)</f>
        <v>0</v>
      </c>
      <c r="M2" s="1">
        <f>VLOOKUP(L2,$AD:$AE,2,FALSE)</f>
        <v>103</v>
      </c>
      <c r="N2" s="1">
        <f>VLOOKUP(L2,$AD:$AG,4,FALSE)</f>
        <v>0</v>
      </c>
      <c r="O2" s="1">
        <f>VLOOKUP(L2,$AD:$AF,3,FALSE)</f>
        <v>10</v>
      </c>
      <c r="P2" s="1">
        <f>O2-N2</f>
        <v>10</v>
      </c>
      <c r="R2" s="1">
        <v>1</v>
      </c>
      <c r="S2" s="1" t="s">
        <v>27</v>
      </c>
      <c r="T2" s="1">
        <v>60</v>
      </c>
      <c r="U2" s="1">
        <f>IF($M$2=R2,$P$2,0)</f>
        <v>0</v>
      </c>
      <c r="V2" s="1" t="str">
        <f>IF(U2&gt;0,U2,"-")</f>
        <v>-</v>
      </c>
      <c r="W2" s="1" t="str">
        <f>IF(V2=0,T2,IF(V2&gt;0,V2))</f>
        <v>-</v>
      </c>
      <c r="X2" s="4" t="str">
        <f>IF(W2&lt;&gt;"-",W2*60/$I$2*80%,"-")</f>
        <v>-</v>
      </c>
      <c r="Y2" s="10" t="str">
        <f>IF(X2="-","0",X2)</f>
        <v>0</v>
      </c>
      <c r="AB2" s="3">
        <v>0.29166666666666669</v>
      </c>
      <c r="AC2" s="3" t="str">
        <f>TEXT(AB2,"hh:mm")</f>
        <v>07:00</v>
      </c>
      <c r="AD2" s="3">
        <f>VALUE(AC2)</f>
        <v>0.29166666666666669</v>
      </c>
      <c r="AE2" s="1">
        <v>1</v>
      </c>
      <c r="AF2" s="1">
        <v>10</v>
      </c>
      <c r="AG2" s="1">
        <v>0</v>
      </c>
    </row>
    <row r="3" spans="1:33" x14ac:dyDescent="0.3">
      <c r="A3" s="1" t="s">
        <v>25</v>
      </c>
      <c r="B3" s="2" t="s">
        <v>28</v>
      </c>
      <c r="D3" s="1">
        <v>12.9</v>
      </c>
      <c r="F3" s="7" t="str">
        <f t="shared" ref="F3:F6" si="0">$A$2</f>
        <v>B-1</v>
      </c>
      <c r="G3" s="8"/>
      <c r="H3" s="1" t="str">
        <f>CONCATENATE(F3,"-",G3)</f>
        <v>B-1-</v>
      </c>
      <c r="I3" s="1" t="e">
        <f>VLOOKUP(H3,C:D,2,FALSE)</f>
        <v>#N/A</v>
      </c>
      <c r="J3" s="9"/>
      <c r="K3" s="3" t="str">
        <f t="shared" ref="K3:K5" si="1">TEXT(J3,"hh:mm")</f>
        <v>00:00</v>
      </c>
      <c r="L3" s="3">
        <f t="shared" ref="L3:L5" si="2">VALUE(K3)</f>
        <v>0</v>
      </c>
      <c r="M3" s="1">
        <f>VLOOKUP(L3,$AD:$AE,2,FALSE)</f>
        <v>103</v>
      </c>
      <c r="N3" s="1">
        <f>VLOOKUP(L3,$AD:$AG,4,FALSE)</f>
        <v>0</v>
      </c>
      <c r="O3" s="1">
        <f>VLOOKUP(L3,$AD:$AF,3,FALSE)</f>
        <v>10</v>
      </c>
      <c r="P3" s="1">
        <f t="shared" ref="P3:P5" si="3">O3-N3</f>
        <v>10</v>
      </c>
      <c r="R3" s="1">
        <v>2</v>
      </c>
      <c r="S3" s="1" t="s">
        <v>29</v>
      </c>
      <c r="T3" s="1">
        <v>70</v>
      </c>
      <c r="U3" s="1">
        <f>IF($M$2=R3,$P$2,0)</f>
        <v>0</v>
      </c>
      <c r="V3" s="1" t="str">
        <f>IF(OR(U3&gt;0,V2&lt;&gt;"-"),U3,"-")</f>
        <v>-</v>
      </c>
      <c r="W3" s="1" t="str">
        <f>IF(V3=0,T3,IF(V3&gt;0,V3))</f>
        <v>-</v>
      </c>
      <c r="X3" s="4" t="str">
        <f t="shared" ref="X3:X4" si="4">IF(W3&lt;&gt;"-",W3*60/$I$2*80%,"-")</f>
        <v>-</v>
      </c>
      <c r="Y3" s="11" t="str">
        <f>IFERROR(Y2+X3,"0")</f>
        <v>0</v>
      </c>
      <c r="AB3" s="3">
        <v>0.29236111111111113</v>
      </c>
      <c r="AC3" s="3" t="str">
        <f t="shared" ref="AC3:AC66" si="5">TEXT(AB3,"hh:mm")</f>
        <v>07:01</v>
      </c>
      <c r="AD3" s="3">
        <f t="shared" ref="AD3:AD66" si="6">VALUE(AC3)</f>
        <v>0.29236111111111113</v>
      </c>
      <c r="AE3" s="1">
        <v>1</v>
      </c>
      <c r="AF3" s="1">
        <v>10</v>
      </c>
      <c r="AG3" s="1">
        <v>1</v>
      </c>
    </row>
    <row r="4" spans="1:33" x14ac:dyDescent="0.3">
      <c r="A4" s="1" t="s">
        <v>25</v>
      </c>
      <c r="B4" s="2" t="s">
        <v>30</v>
      </c>
      <c r="D4" s="1">
        <v>13</v>
      </c>
      <c r="F4" s="7" t="str">
        <f t="shared" si="0"/>
        <v>B-1</v>
      </c>
      <c r="G4" s="8"/>
      <c r="H4" s="1" t="str">
        <f t="shared" ref="H4:H6" si="7">CONCATENATE(F4,"-",G4)</f>
        <v>B-1-</v>
      </c>
      <c r="I4" s="1" t="e">
        <f t="shared" ref="I4:I6" si="8">VLOOKUP(H4,C:D,2,FALSE)</f>
        <v>#N/A</v>
      </c>
      <c r="J4" s="9"/>
      <c r="K4" s="3" t="str">
        <f t="shared" si="1"/>
        <v>00:00</v>
      </c>
      <c r="L4" s="3">
        <f t="shared" si="2"/>
        <v>0</v>
      </c>
      <c r="M4" s="1">
        <f>VLOOKUP(L4,$AD:$AE,2,FALSE)</f>
        <v>103</v>
      </c>
      <c r="N4" s="1">
        <f>VLOOKUP(L4,$AD:$AG,4,FALSE)</f>
        <v>0</v>
      </c>
      <c r="O4" s="1">
        <f>VLOOKUP(L4,$AD:$AF,3,FALSE)</f>
        <v>10</v>
      </c>
      <c r="P4" s="1">
        <f t="shared" si="3"/>
        <v>10</v>
      </c>
      <c r="R4" s="1">
        <v>3</v>
      </c>
      <c r="S4" s="1" t="s">
        <v>31</v>
      </c>
      <c r="T4" s="1">
        <v>10</v>
      </c>
      <c r="U4" s="1">
        <f t="shared" ref="U4:U25" si="9">IF($M$2=R4,$P$2,0)</f>
        <v>0</v>
      </c>
      <c r="V4" s="1" t="str">
        <f t="shared" ref="V4:V11" si="10">IF(OR(U4&gt;0,V3&lt;&gt;"-"),U4,"-")</f>
        <v>-</v>
      </c>
      <c r="W4" s="1" t="str">
        <f t="shared" ref="W4:W25" si="11">IF(V4=0,T4,IF(V4&gt;0,V4))</f>
        <v>-</v>
      </c>
      <c r="X4" s="4" t="str">
        <f t="shared" si="4"/>
        <v>-</v>
      </c>
      <c r="Y4" s="11" t="str">
        <f t="shared" ref="Y4:Y11" si="12">IFERROR(Y3+X4,"0")</f>
        <v>0</v>
      </c>
      <c r="AB4" s="3">
        <v>0.29305555555555601</v>
      </c>
      <c r="AC4" s="3" t="str">
        <f t="shared" si="5"/>
        <v>07:02</v>
      </c>
      <c r="AD4" s="3">
        <f t="shared" si="6"/>
        <v>0.29305555555555557</v>
      </c>
      <c r="AE4" s="1">
        <v>1</v>
      </c>
      <c r="AF4" s="1">
        <v>10</v>
      </c>
      <c r="AG4" s="1">
        <v>2</v>
      </c>
    </row>
    <row r="5" spans="1:33" x14ac:dyDescent="0.3">
      <c r="F5" s="7" t="str">
        <f t="shared" si="0"/>
        <v>B-1</v>
      </c>
      <c r="G5" s="8"/>
      <c r="H5" s="1" t="str">
        <f t="shared" si="7"/>
        <v>B-1-</v>
      </c>
      <c r="I5" s="1" t="e">
        <f t="shared" si="8"/>
        <v>#N/A</v>
      </c>
      <c r="J5" s="9"/>
      <c r="K5" s="3" t="str">
        <f t="shared" si="1"/>
        <v>00:00</v>
      </c>
      <c r="L5" s="3">
        <f t="shared" si="2"/>
        <v>0</v>
      </c>
      <c r="M5" s="1">
        <f>VLOOKUP(L5,$AD:$AE,2,FALSE)</f>
        <v>103</v>
      </c>
      <c r="N5" s="1">
        <f>VLOOKUP(L5,$AD:$AG,4,FALSE)</f>
        <v>0</v>
      </c>
      <c r="O5" s="1">
        <f>VLOOKUP(L5,$AD:$AF,3,FALSE)</f>
        <v>10</v>
      </c>
      <c r="P5" s="1">
        <f t="shared" si="3"/>
        <v>10</v>
      </c>
      <c r="R5" s="1">
        <v>4</v>
      </c>
      <c r="S5" s="1" t="s">
        <v>32</v>
      </c>
      <c r="T5" s="1">
        <v>60</v>
      </c>
      <c r="U5" s="1">
        <f t="shared" si="9"/>
        <v>0</v>
      </c>
      <c r="V5" s="1" t="str">
        <f>IF(OR(U5&gt;0,V4&lt;&gt;"-"),U5,"-")</f>
        <v>-</v>
      </c>
      <c r="W5" s="1" t="str">
        <f>IF(V5=0,T5,IF(V5&gt;0,V5))</f>
        <v>-</v>
      </c>
      <c r="X5" s="4" t="str">
        <f>IF(W5&lt;&gt;"-",W5*60/$I$2*80%,"-")</f>
        <v>-</v>
      </c>
      <c r="Y5" s="11" t="str">
        <f t="shared" si="12"/>
        <v>0</v>
      </c>
      <c r="AB5" s="3">
        <v>0.29375000000000001</v>
      </c>
      <c r="AC5" s="3" t="str">
        <f t="shared" si="5"/>
        <v>07:03</v>
      </c>
      <c r="AD5" s="3">
        <f t="shared" si="6"/>
        <v>0.29375000000000001</v>
      </c>
      <c r="AE5" s="1">
        <v>1</v>
      </c>
      <c r="AF5" s="1">
        <v>10</v>
      </c>
      <c r="AG5" s="1">
        <v>3</v>
      </c>
    </row>
    <row r="6" spans="1:33" x14ac:dyDescent="0.3">
      <c r="F6" s="7" t="str">
        <f t="shared" si="0"/>
        <v>B-1</v>
      </c>
      <c r="G6" s="8"/>
      <c r="H6" s="1" t="str">
        <f t="shared" si="7"/>
        <v>B-1-</v>
      </c>
      <c r="I6" s="1" t="e">
        <f t="shared" si="8"/>
        <v>#N/A</v>
      </c>
      <c r="J6" s="9"/>
      <c r="K6" s="3" t="str">
        <f>TEXT(J6,"hh:mm")</f>
        <v>00:00</v>
      </c>
      <c r="L6" s="3">
        <f>VALUE(K6)</f>
        <v>0</v>
      </c>
      <c r="M6" s="1">
        <f>VLOOKUP(L6,$AD:$AE,2,FALSE)</f>
        <v>103</v>
      </c>
      <c r="N6" s="1">
        <f>VLOOKUP(L6,$AD:$AG,4,FALSE)</f>
        <v>0</v>
      </c>
      <c r="O6" s="1">
        <f>VLOOKUP(L6,$AD:$AF,3,FALSE)</f>
        <v>10</v>
      </c>
      <c r="P6" s="1">
        <f>O6-N6</f>
        <v>10</v>
      </c>
      <c r="R6" s="1">
        <v>5</v>
      </c>
      <c r="S6" s="1" t="s">
        <v>33</v>
      </c>
      <c r="T6" s="1">
        <v>80</v>
      </c>
      <c r="U6" s="1">
        <f t="shared" si="9"/>
        <v>0</v>
      </c>
      <c r="V6" s="1" t="str">
        <f t="shared" si="10"/>
        <v>-</v>
      </c>
      <c r="W6" s="1" t="str">
        <f t="shared" si="11"/>
        <v>-</v>
      </c>
      <c r="X6" s="4" t="str">
        <f t="shared" ref="X6:X25" si="13">IF(W6&lt;&gt;"-",W6*60/$I$2*80%,"-")</f>
        <v>-</v>
      </c>
      <c r="Y6" s="11" t="str">
        <f t="shared" si="12"/>
        <v>0</v>
      </c>
      <c r="AB6" s="3">
        <v>0.29444444444444401</v>
      </c>
      <c r="AC6" s="3" t="str">
        <f t="shared" si="5"/>
        <v>07:04</v>
      </c>
      <c r="AD6" s="3">
        <f t="shared" si="6"/>
        <v>0.29444444444444445</v>
      </c>
      <c r="AE6" s="1">
        <v>1</v>
      </c>
      <c r="AF6" s="1">
        <v>10</v>
      </c>
      <c r="AG6" s="1">
        <v>4</v>
      </c>
    </row>
    <row r="7" spans="1:33" x14ac:dyDescent="0.3">
      <c r="R7" s="1">
        <v>6</v>
      </c>
      <c r="S7" s="1" t="s">
        <v>34</v>
      </c>
      <c r="T7" s="1">
        <v>40</v>
      </c>
      <c r="U7" s="1">
        <f t="shared" si="9"/>
        <v>0</v>
      </c>
      <c r="V7" s="1" t="str">
        <f t="shared" si="10"/>
        <v>-</v>
      </c>
      <c r="W7" s="1" t="str">
        <f t="shared" si="11"/>
        <v>-</v>
      </c>
      <c r="X7" s="4" t="str">
        <f t="shared" si="13"/>
        <v>-</v>
      </c>
      <c r="Y7" s="11" t="str">
        <f t="shared" si="12"/>
        <v>0</v>
      </c>
      <c r="AB7" s="3">
        <v>0.29513888888888901</v>
      </c>
      <c r="AC7" s="3" t="str">
        <f t="shared" si="5"/>
        <v>07:05</v>
      </c>
      <c r="AD7" s="3">
        <f t="shared" si="6"/>
        <v>0.2951388888888889</v>
      </c>
      <c r="AE7" s="1">
        <v>1</v>
      </c>
      <c r="AF7" s="1">
        <v>10</v>
      </c>
      <c r="AG7" s="1">
        <v>5</v>
      </c>
    </row>
    <row r="8" spans="1:33" x14ac:dyDescent="0.3">
      <c r="F8" s="12">
        <f>'[1]日報(A)'!B2</f>
        <v>45946</v>
      </c>
      <c r="R8" s="1">
        <v>7</v>
      </c>
      <c r="S8" s="1" t="s">
        <v>35</v>
      </c>
      <c r="T8" s="1">
        <v>60</v>
      </c>
      <c r="U8" s="1">
        <f t="shared" si="9"/>
        <v>0</v>
      </c>
      <c r="V8" s="1" t="str">
        <f t="shared" si="10"/>
        <v>-</v>
      </c>
      <c r="W8" s="1" t="str">
        <f t="shared" si="11"/>
        <v>-</v>
      </c>
      <c r="X8" s="4" t="str">
        <f t="shared" si="13"/>
        <v>-</v>
      </c>
      <c r="Y8" s="11" t="str">
        <f t="shared" si="12"/>
        <v>0</v>
      </c>
      <c r="AB8" s="3">
        <v>0.295833333333333</v>
      </c>
      <c r="AC8" s="3" t="str">
        <f t="shared" si="5"/>
        <v>07:06</v>
      </c>
      <c r="AD8" s="3">
        <f t="shared" si="6"/>
        <v>0.29583333333333334</v>
      </c>
      <c r="AE8" s="1">
        <v>1</v>
      </c>
      <c r="AF8" s="1">
        <v>10</v>
      </c>
      <c r="AG8" s="1">
        <v>6</v>
      </c>
    </row>
    <row r="9" spans="1:33" x14ac:dyDescent="0.3">
      <c r="R9" s="1">
        <v>8</v>
      </c>
      <c r="S9" s="1" t="s">
        <v>36</v>
      </c>
      <c r="T9" s="1">
        <v>60</v>
      </c>
      <c r="U9" s="1">
        <f t="shared" si="9"/>
        <v>0</v>
      </c>
      <c r="V9" s="1" t="str">
        <f t="shared" si="10"/>
        <v>-</v>
      </c>
      <c r="W9" s="1" t="str">
        <f t="shared" si="11"/>
        <v>-</v>
      </c>
      <c r="X9" s="4" t="str">
        <f t="shared" si="13"/>
        <v>-</v>
      </c>
      <c r="Y9" s="11" t="str">
        <f t="shared" si="12"/>
        <v>0</v>
      </c>
      <c r="AB9" s="3">
        <v>0.296527777777778</v>
      </c>
      <c r="AC9" s="3" t="str">
        <f t="shared" si="5"/>
        <v>07:07</v>
      </c>
      <c r="AD9" s="3">
        <f t="shared" si="6"/>
        <v>0.29652777777777778</v>
      </c>
      <c r="AE9" s="1">
        <v>1</v>
      </c>
      <c r="AF9" s="1">
        <v>10</v>
      </c>
      <c r="AG9" s="1">
        <v>7</v>
      </c>
    </row>
    <row r="10" spans="1:33" x14ac:dyDescent="0.3">
      <c r="R10" s="1">
        <v>9</v>
      </c>
      <c r="S10" s="1" t="s">
        <v>37</v>
      </c>
      <c r="T10" s="1">
        <v>10</v>
      </c>
      <c r="U10" s="1">
        <f t="shared" si="9"/>
        <v>0</v>
      </c>
      <c r="V10" s="1" t="str">
        <f t="shared" si="10"/>
        <v>-</v>
      </c>
      <c r="W10" s="1" t="str">
        <f t="shared" si="11"/>
        <v>-</v>
      </c>
      <c r="X10" s="4" t="str">
        <f t="shared" si="13"/>
        <v>-</v>
      </c>
      <c r="Y10" s="11" t="str">
        <f t="shared" si="12"/>
        <v>0</v>
      </c>
      <c r="AB10" s="3">
        <v>0.297222222222222</v>
      </c>
      <c r="AC10" s="3" t="str">
        <f t="shared" si="5"/>
        <v>07:08</v>
      </c>
      <c r="AD10" s="3">
        <f t="shared" si="6"/>
        <v>0.29722222222222222</v>
      </c>
      <c r="AE10" s="1">
        <v>1</v>
      </c>
      <c r="AF10" s="1">
        <v>10</v>
      </c>
      <c r="AG10" s="1">
        <v>8</v>
      </c>
    </row>
    <row r="11" spans="1:33" x14ac:dyDescent="0.3">
      <c r="R11" s="1">
        <v>10</v>
      </c>
      <c r="S11" s="1" t="s">
        <v>38</v>
      </c>
      <c r="T11" s="1">
        <v>70</v>
      </c>
      <c r="U11" s="1">
        <f t="shared" si="9"/>
        <v>0</v>
      </c>
      <c r="V11" s="1" t="str">
        <f t="shared" si="10"/>
        <v>-</v>
      </c>
      <c r="W11" s="1" t="str">
        <f t="shared" si="11"/>
        <v>-</v>
      </c>
      <c r="X11" s="4" t="str">
        <f t="shared" si="13"/>
        <v>-</v>
      </c>
      <c r="Y11" s="11" t="str">
        <f t="shared" si="12"/>
        <v>0</v>
      </c>
      <c r="AB11" s="3">
        <v>0.297916666666667</v>
      </c>
      <c r="AC11" s="3" t="str">
        <f t="shared" si="5"/>
        <v>07:09</v>
      </c>
      <c r="AD11" s="3">
        <f t="shared" si="6"/>
        <v>0.29791666666666666</v>
      </c>
      <c r="AE11" s="1">
        <v>1</v>
      </c>
      <c r="AF11" s="1">
        <v>10</v>
      </c>
      <c r="AG11" s="1">
        <v>9</v>
      </c>
    </row>
    <row r="12" spans="1:33" x14ac:dyDescent="0.3">
      <c r="R12" s="13">
        <v>11</v>
      </c>
      <c r="S12" s="13" t="s">
        <v>39</v>
      </c>
      <c r="T12" s="13">
        <v>60</v>
      </c>
      <c r="U12" s="13">
        <f t="shared" si="9"/>
        <v>0</v>
      </c>
      <c r="V12" s="13" t="str">
        <f>IF(U12&gt;0,U12,"-")</f>
        <v>-</v>
      </c>
      <c r="W12" s="13" t="str">
        <f t="shared" si="11"/>
        <v>-</v>
      </c>
      <c r="X12" s="14" t="str">
        <f t="shared" si="13"/>
        <v>-</v>
      </c>
      <c r="Y12" s="15" t="str">
        <f>IF(X12="-","0",X12)</f>
        <v>0</v>
      </c>
      <c r="AB12" s="3">
        <v>0.29861111111111099</v>
      </c>
      <c r="AC12" s="3" t="str">
        <f t="shared" si="5"/>
        <v>07:10</v>
      </c>
      <c r="AD12" s="3">
        <f t="shared" si="6"/>
        <v>0.2986111111111111</v>
      </c>
      <c r="AE12" s="1">
        <v>2</v>
      </c>
      <c r="AF12" s="1">
        <v>10</v>
      </c>
      <c r="AG12" s="1">
        <v>0</v>
      </c>
    </row>
    <row r="13" spans="1:33" x14ac:dyDescent="0.3">
      <c r="R13" s="1">
        <v>12</v>
      </c>
      <c r="S13" s="1" t="s">
        <v>40</v>
      </c>
      <c r="T13" s="1">
        <v>50</v>
      </c>
      <c r="U13" s="1">
        <f t="shared" si="9"/>
        <v>0</v>
      </c>
      <c r="V13" s="1" t="str">
        <f>IF(OR(U13&gt;0,V12&lt;&gt;"-"),U13,"-")</f>
        <v>-</v>
      </c>
      <c r="W13" s="1" t="str">
        <f t="shared" si="11"/>
        <v>-</v>
      </c>
      <c r="X13" s="4" t="str">
        <f t="shared" si="13"/>
        <v>-</v>
      </c>
      <c r="Y13" s="11" t="str">
        <f>IFERROR(Y12+X13,"0")</f>
        <v>0</v>
      </c>
      <c r="AB13" s="3">
        <v>0.29930555555555599</v>
      </c>
      <c r="AC13" s="3" t="str">
        <f t="shared" si="5"/>
        <v>07:11</v>
      </c>
      <c r="AD13" s="3">
        <f t="shared" si="6"/>
        <v>0.29930555555555555</v>
      </c>
      <c r="AE13" s="1">
        <v>2</v>
      </c>
      <c r="AF13" s="1">
        <v>10</v>
      </c>
      <c r="AG13" s="1">
        <v>1</v>
      </c>
    </row>
    <row r="14" spans="1:33" x14ac:dyDescent="0.3">
      <c r="R14" s="1">
        <v>13</v>
      </c>
      <c r="S14" s="1" t="s">
        <v>41</v>
      </c>
      <c r="T14" s="1">
        <v>10</v>
      </c>
      <c r="U14" s="1">
        <f t="shared" si="9"/>
        <v>0</v>
      </c>
      <c r="V14" s="1" t="str">
        <f t="shared" ref="V14:V25" si="14">IF(OR(U14&gt;0,V13&lt;&gt;"-"),U14,"-")</f>
        <v>-</v>
      </c>
      <c r="W14" s="1" t="str">
        <f t="shared" si="11"/>
        <v>-</v>
      </c>
      <c r="X14" s="4" t="str">
        <f t="shared" si="13"/>
        <v>-</v>
      </c>
      <c r="Y14" s="11" t="str">
        <f>IFERROR(Y13+X14,"0")</f>
        <v>0</v>
      </c>
      <c r="AB14" s="3">
        <v>0.3</v>
      </c>
      <c r="AC14" s="3" t="str">
        <f t="shared" si="5"/>
        <v>07:12</v>
      </c>
      <c r="AD14" s="3">
        <f t="shared" si="6"/>
        <v>0.3</v>
      </c>
      <c r="AE14" s="1">
        <v>2</v>
      </c>
      <c r="AF14" s="1">
        <v>10</v>
      </c>
      <c r="AG14" s="1">
        <v>2</v>
      </c>
    </row>
    <row r="15" spans="1:33" x14ac:dyDescent="0.3">
      <c r="R15" s="1">
        <v>14</v>
      </c>
      <c r="S15" s="1" t="s">
        <v>42</v>
      </c>
      <c r="T15" s="1">
        <v>60</v>
      </c>
      <c r="U15" s="1">
        <f t="shared" si="9"/>
        <v>0</v>
      </c>
      <c r="V15" s="1" t="str">
        <f t="shared" si="14"/>
        <v>-</v>
      </c>
      <c r="W15" s="1" t="str">
        <f t="shared" si="11"/>
        <v>-</v>
      </c>
      <c r="X15" s="4" t="str">
        <f t="shared" si="13"/>
        <v>-</v>
      </c>
      <c r="Y15" s="11" t="str">
        <f t="shared" ref="Y15:Y25" si="15">IFERROR(Y14+X15,"0")</f>
        <v>0</v>
      </c>
      <c r="AB15" s="3">
        <v>0.30069444444444399</v>
      </c>
      <c r="AC15" s="3" t="str">
        <f t="shared" si="5"/>
        <v>07:13</v>
      </c>
      <c r="AD15" s="3">
        <f t="shared" si="6"/>
        <v>0.30069444444444443</v>
      </c>
      <c r="AE15" s="1">
        <v>2</v>
      </c>
      <c r="AF15" s="1">
        <v>10</v>
      </c>
      <c r="AG15" s="1">
        <v>3</v>
      </c>
    </row>
    <row r="16" spans="1:33" x14ac:dyDescent="0.3">
      <c r="R16" s="1">
        <v>15</v>
      </c>
      <c r="S16" s="1" t="s">
        <v>43</v>
      </c>
      <c r="T16" s="1">
        <v>60</v>
      </c>
      <c r="U16" s="1">
        <f t="shared" si="9"/>
        <v>0</v>
      </c>
      <c r="V16" s="1" t="str">
        <f t="shared" si="14"/>
        <v>-</v>
      </c>
      <c r="W16" s="1" t="str">
        <f t="shared" si="11"/>
        <v>-</v>
      </c>
      <c r="X16" s="4" t="str">
        <f t="shared" si="13"/>
        <v>-</v>
      </c>
      <c r="Y16" s="11" t="str">
        <f t="shared" si="15"/>
        <v>0</v>
      </c>
      <c r="AB16" s="3">
        <v>0.30138888888888898</v>
      </c>
      <c r="AC16" s="3" t="str">
        <f t="shared" si="5"/>
        <v>07:14</v>
      </c>
      <c r="AD16" s="3">
        <f t="shared" si="6"/>
        <v>0.30138888888888887</v>
      </c>
      <c r="AE16" s="1">
        <v>2</v>
      </c>
      <c r="AF16" s="1">
        <v>10</v>
      </c>
      <c r="AG16" s="1">
        <v>4</v>
      </c>
    </row>
    <row r="17" spans="18:33" x14ac:dyDescent="0.3">
      <c r="R17" s="1">
        <v>16</v>
      </c>
      <c r="S17" s="1" t="s">
        <v>44</v>
      </c>
      <c r="T17" s="1">
        <v>40</v>
      </c>
      <c r="U17" s="1">
        <f t="shared" si="9"/>
        <v>0</v>
      </c>
      <c r="V17" s="1" t="str">
        <f t="shared" si="14"/>
        <v>-</v>
      </c>
      <c r="W17" s="1" t="str">
        <f t="shared" si="11"/>
        <v>-</v>
      </c>
      <c r="X17" s="4" t="str">
        <f t="shared" si="13"/>
        <v>-</v>
      </c>
      <c r="Y17" s="11" t="str">
        <f t="shared" si="15"/>
        <v>0</v>
      </c>
      <c r="AB17" s="3">
        <v>0.30208333333333298</v>
      </c>
      <c r="AC17" s="3" t="str">
        <f t="shared" si="5"/>
        <v>07:15</v>
      </c>
      <c r="AD17" s="3">
        <f t="shared" si="6"/>
        <v>0.30208333333333331</v>
      </c>
      <c r="AE17" s="1">
        <v>2</v>
      </c>
      <c r="AF17" s="1">
        <v>10</v>
      </c>
      <c r="AG17" s="1">
        <v>5</v>
      </c>
    </row>
    <row r="18" spans="18:33" x14ac:dyDescent="0.3">
      <c r="R18" s="1">
        <v>17</v>
      </c>
      <c r="S18" s="1" t="s">
        <v>45</v>
      </c>
      <c r="T18" s="1">
        <v>60</v>
      </c>
      <c r="U18" s="1">
        <f t="shared" si="9"/>
        <v>0</v>
      </c>
      <c r="V18" s="1" t="str">
        <f t="shared" si="14"/>
        <v>-</v>
      </c>
      <c r="W18" s="1" t="str">
        <f t="shared" si="11"/>
        <v>-</v>
      </c>
      <c r="X18" s="4" t="str">
        <f t="shared" si="13"/>
        <v>-</v>
      </c>
      <c r="Y18" s="11" t="str">
        <f t="shared" si="15"/>
        <v>0</v>
      </c>
      <c r="AB18" s="3">
        <v>0.30277777777777798</v>
      </c>
      <c r="AC18" s="3" t="str">
        <f t="shared" si="5"/>
        <v>07:16</v>
      </c>
      <c r="AD18" s="3">
        <f t="shared" si="6"/>
        <v>0.30277777777777776</v>
      </c>
      <c r="AE18" s="1">
        <v>2</v>
      </c>
      <c r="AF18" s="1">
        <v>10</v>
      </c>
      <c r="AG18" s="1">
        <v>6</v>
      </c>
    </row>
    <row r="19" spans="18:33" x14ac:dyDescent="0.3">
      <c r="R19" s="1">
        <v>18</v>
      </c>
      <c r="S19" s="1" t="s">
        <v>46</v>
      </c>
      <c r="T19" s="1">
        <v>70</v>
      </c>
      <c r="U19" s="1">
        <f t="shared" si="9"/>
        <v>0</v>
      </c>
      <c r="V19" s="1" t="str">
        <f t="shared" si="14"/>
        <v>-</v>
      </c>
      <c r="W19" s="1" t="str">
        <f t="shared" si="11"/>
        <v>-</v>
      </c>
      <c r="X19" s="4" t="str">
        <f t="shared" si="13"/>
        <v>-</v>
      </c>
      <c r="Y19" s="11" t="str">
        <f t="shared" si="15"/>
        <v>0</v>
      </c>
      <c r="AB19" s="3">
        <v>0.30347222222222198</v>
      </c>
      <c r="AC19" s="3" t="str">
        <f t="shared" si="5"/>
        <v>07:17</v>
      </c>
      <c r="AD19" s="3">
        <f t="shared" si="6"/>
        <v>0.3034722222222222</v>
      </c>
      <c r="AE19" s="1">
        <v>2</v>
      </c>
      <c r="AF19" s="1">
        <v>10</v>
      </c>
      <c r="AG19" s="1">
        <v>7</v>
      </c>
    </row>
    <row r="20" spans="18:33" x14ac:dyDescent="0.3">
      <c r="R20" s="1">
        <v>19</v>
      </c>
      <c r="S20" s="1" t="s">
        <v>47</v>
      </c>
      <c r="T20" s="1">
        <v>10</v>
      </c>
      <c r="U20" s="1">
        <f t="shared" si="9"/>
        <v>0</v>
      </c>
      <c r="V20" s="1" t="str">
        <f t="shared" si="14"/>
        <v>-</v>
      </c>
      <c r="W20" s="1" t="str">
        <f t="shared" si="11"/>
        <v>-</v>
      </c>
      <c r="X20" s="4" t="str">
        <f t="shared" si="13"/>
        <v>-</v>
      </c>
      <c r="Y20" s="11" t="str">
        <f t="shared" si="15"/>
        <v>0</v>
      </c>
      <c r="AB20" s="3">
        <v>0.30416666666666697</v>
      </c>
      <c r="AC20" s="3" t="str">
        <f t="shared" si="5"/>
        <v>07:18</v>
      </c>
      <c r="AD20" s="3">
        <f t="shared" si="6"/>
        <v>0.30416666666666664</v>
      </c>
      <c r="AE20" s="1">
        <v>2</v>
      </c>
      <c r="AF20" s="1">
        <v>10</v>
      </c>
      <c r="AG20" s="1">
        <v>8</v>
      </c>
    </row>
    <row r="21" spans="18:33" x14ac:dyDescent="0.3">
      <c r="R21" s="1">
        <v>20</v>
      </c>
      <c r="S21" s="1" t="s">
        <v>48</v>
      </c>
      <c r="T21" s="1">
        <v>60</v>
      </c>
      <c r="U21" s="1">
        <f t="shared" si="9"/>
        <v>0</v>
      </c>
      <c r="V21" s="1" t="str">
        <f t="shared" si="14"/>
        <v>-</v>
      </c>
      <c r="W21" s="1" t="str">
        <f t="shared" si="11"/>
        <v>-</v>
      </c>
      <c r="X21" s="4" t="str">
        <f t="shared" si="13"/>
        <v>-</v>
      </c>
      <c r="Y21" s="11" t="str">
        <f t="shared" si="15"/>
        <v>0</v>
      </c>
      <c r="AB21" s="3">
        <v>0.30486111111111103</v>
      </c>
      <c r="AC21" s="3" t="str">
        <f t="shared" si="5"/>
        <v>07:19</v>
      </c>
      <c r="AD21" s="3">
        <f t="shared" si="6"/>
        <v>0.30486111111111108</v>
      </c>
      <c r="AE21" s="1">
        <v>2</v>
      </c>
      <c r="AF21" s="1">
        <v>10</v>
      </c>
      <c r="AG21" s="1">
        <v>9</v>
      </c>
    </row>
    <row r="22" spans="18:33" x14ac:dyDescent="0.3">
      <c r="R22" s="1">
        <v>21</v>
      </c>
      <c r="S22" s="1" t="s">
        <v>49</v>
      </c>
      <c r="T22" s="1">
        <v>40</v>
      </c>
      <c r="U22" s="1">
        <f t="shared" si="9"/>
        <v>0</v>
      </c>
      <c r="V22" s="1" t="str">
        <f t="shared" si="14"/>
        <v>-</v>
      </c>
      <c r="W22" s="1" t="str">
        <f t="shared" si="11"/>
        <v>-</v>
      </c>
      <c r="X22" s="4" t="str">
        <f t="shared" si="13"/>
        <v>-</v>
      </c>
      <c r="Y22" s="11" t="str">
        <f t="shared" si="15"/>
        <v>0</v>
      </c>
      <c r="AB22" s="3">
        <v>0.30555555555555503</v>
      </c>
      <c r="AC22" s="3" t="str">
        <f t="shared" si="5"/>
        <v>07:20</v>
      </c>
      <c r="AD22" s="3">
        <f t="shared" si="6"/>
        <v>0.30555555555555552</v>
      </c>
      <c r="AE22" s="1">
        <v>3</v>
      </c>
      <c r="AF22" s="1">
        <v>10</v>
      </c>
      <c r="AG22" s="1">
        <v>0</v>
      </c>
    </row>
    <row r="23" spans="18:33" x14ac:dyDescent="0.3">
      <c r="R23" s="1">
        <v>22</v>
      </c>
      <c r="S23" s="1" t="s">
        <v>50</v>
      </c>
      <c r="T23" s="1">
        <v>60</v>
      </c>
      <c r="U23" s="1">
        <f t="shared" si="9"/>
        <v>0</v>
      </c>
      <c r="V23" s="1" t="str">
        <f t="shared" si="14"/>
        <v>-</v>
      </c>
      <c r="W23" s="1" t="str">
        <f t="shared" si="11"/>
        <v>-</v>
      </c>
      <c r="X23" s="4" t="str">
        <f t="shared" si="13"/>
        <v>-</v>
      </c>
      <c r="Y23" s="11" t="str">
        <f t="shared" si="15"/>
        <v>0</v>
      </c>
      <c r="AB23" s="3">
        <v>0.30625000000000002</v>
      </c>
      <c r="AC23" s="3" t="str">
        <f t="shared" si="5"/>
        <v>07:21</v>
      </c>
      <c r="AD23" s="3">
        <f t="shared" si="6"/>
        <v>0.30624999999999997</v>
      </c>
      <c r="AE23" s="1">
        <v>3</v>
      </c>
      <c r="AF23" s="1">
        <v>10</v>
      </c>
      <c r="AG23" s="1">
        <v>1</v>
      </c>
    </row>
    <row r="24" spans="18:33" x14ac:dyDescent="0.3">
      <c r="R24" s="1">
        <v>23</v>
      </c>
      <c r="S24" s="1" t="s">
        <v>51</v>
      </c>
      <c r="T24" s="1">
        <v>10</v>
      </c>
      <c r="U24" s="1">
        <f t="shared" si="9"/>
        <v>0</v>
      </c>
      <c r="V24" s="1" t="str">
        <f t="shared" si="14"/>
        <v>-</v>
      </c>
      <c r="W24" s="1" t="str">
        <f t="shared" si="11"/>
        <v>-</v>
      </c>
      <c r="X24" s="4" t="str">
        <f t="shared" si="13"/>
        <v>-</v>
      </c>
      <c r="Y24" s="11" t="str">
        <f t="shared" si="15"/>
        <v>0</v>
      </c>
      <c r="AB24" s="3">
        <v>0.30694444444444402</v>
      </c>
      <c r="AC24" s="3" t="str">
        <f t="shared" si="5"/>
        <v>07:22</v>
      </c>
      <c r="AD24" s="3">
        <f t="shared" si="6"/>
        <v>0.30694444444444441</v>
      </c>
      <c r="AE24" s="1">
        <v>3</v>
      </c>
      <c r="AF24" s="1">
        <v>10</v>
      </c>
      <c r="AG24" s="1">
        <v>2</v>
      </c>
    </row>
    <row r="25" spans="18:33" ht="15.6" thickBot="1" x14ac:dyDescent="0.35">
      <c r="R25" s="1">
        <v>24</v>
      </c>
      <c r="S25" s="1" t="s">
        <v>52</v>
      </c>
      <c r="T25" s="1">
        <v>60</v>
      </c>
      <c r="U25" s="1">
        <f t="shared" si="9"/>
        <v>0</v>
      </c>
      <c r="V25" s="1" t="str">
        <f t="shared" si="14"/>
        <v>-</v>
      </c>
      <c r="W25" s="1" t="str">
        <f t="shared" si="11"/>
        <v>-</v>
      </c>
      <c r="X25" s="4" t="str">
        <f t="shared" si="13"/>
        <v>-</v>
      </c>
      <c r="Y25" s="16" t="str">
        <f t="shared" si="15"/>
        <v>0</v>
      </c>
      <c r="AB25" s="3">
        <v>0.30763888888888902</v>
      </c>
      <c r="AC25" s="3" t="str">
        <f t="shared" si="5"/>
        <v>07:23</v>
      </c>
      <c r="AD25" s="3">
        <f t="shared" si="6"/>
        <v>0.30763888888888891</v>
      </c>
      <c r="AE25" s="1">
        <v>3</v>
      </c>
      <c r="AF25" s="1">
        <v>10</v>
      </c>
      <c r="AG25" s="1">
        <v>3</v>
      </c>
    </row>
    <row r="26" spans="18:33" x14ac:dyDescent="0.3">
      <c r="AB26" s="3">
        <v>0.30833333333333302</v>
      </c>
      <c r="AC26" s="3" t="str">
        <f t="shared" si="5"/>
        <v>07:24</v>
      </c>
      <c r="AD26" s="3">
        <f t="shared" si="6"/>
        <v>0.30833333333333335</v>
      </c>
      <c r="AE26" s="1">
        <v>3</v>
      </c>
      <c r="AF26" s="1">
        <v>10</v>
      </c>
      <c r="AG26" s="1">
        <v>4</v>
      </c>
    </row>
    <row r="27" spans="18:33" x14ac:dyDescent="0.3">
      <c r="AB27" s="3">
        <v>0.30902777777777801</v>
      </c>
      <c r="AC27" s="3" t="str">
        <f t="shared" si="5"/>
        <v>07:25</v>
      </c>
      <c r="AD27" s="3">
        <f t="shared" si="6"/>
        <v>0.30902777777777779</v>
      </c>
      <c r="AE27" s="1">
        <v>3</v>
      </c>
      <c r="AF27" s="1">
        <v>10</v>
      </c>
      <c r="AG27" s="1">
        <v>5</v>
      </c>
    </row>
    <row r="28" spans="18:33" x14ac:dyDescent="0.3">
      <c r="AB28" s="3">
        <v>0.30972222222222201</v>
      </c>
      <c r="AC28" s="3" t="str">
        <f t="shared" si="5"/>
        <v>07:26</v>
      </c>
      <c r="AD28" s="3">
        <f t="shared" si="6"/>
        <v>0.30972222222222223</v>
      </c>
      <c r="AE28" s="1">
        <v>3</v>
      </c>
      <c r="AF28" s="1">
        <v>10</v>
      </c>
      <c r="AG28" s="1">
        <v>6</v>
      </c>
    </row>
    <row r="29" spans="18:33" x14ac:dyDescent="0.3">
      <c r="AB29" s="3">
        <v>0.31041666666666701</v>
      </c>
      <c r="AC29" s="3" t="str">
        <f t="shared" si="5"/>
        <v>07:27</v>
      </c>
      <c r="AD29" s="3">
        <f t="shared" si="6"/>
        <v>0.31041666666666667</v>
      </c>
      <c r="AE29" s="1">
        <v>3</v>
      </c>
      <c r="AF29" s="1">
        <v>10</v>
      </c>
      <c r="AG29" s="1">
        <v>7</v>
      </c>
    </row>
    <row r="30" spans="18:33" x14ac:dyDescent="0.3">
      <c r="AB30" s="3">
        <v>0.31111111111111101</v>
      </c>
      <c r="AC30" s="3" t="str">
        <f t="shared" si="5"/>
        <v>07:28</v>
      </c>
      <c r="AD30" s="3">
        <f t="shared" si="6"/>
        <v>0.31111111111111112</v>
      </c>
      <c r="AE30" s="1">
        <v>3</v>
      </c>
      <c r="AF30" s="1">
        <v>10</v>
      </c>
      <c r="AG30" s="1">
        <v>8</v>
      </c>
    </row>
    <row r="31" spans="18:33" x14ac:dyDescent="0.3">
      <c r="AB31" s="3">
        <v>0.311805555555556</v>
      </c>
      <c r="AC31" s="3" t="str">
        <f t="shared" si="5"/>
        <v>07:29</v>
      </c>
      <c r="AD31" s="3">
        <f t="shared" si="6"/>
        <v>0.31180555555555556</v>
      </c>
      <c r="AE31" s="1">
        <v>3</v>
      </c>
      <c r="AF31" s="1">
        <v>10</v>
      </c>
      <c r="AG31" s="1">
        <v>9</v>
      </c>
    </row>
    <row r="32" spans="18:33" x14ac:dyDescent="0.3">
      <c r="AB32" s="3">
        <v>0.3125</v>
      </c>
      <c r="AC32" s="3" t="str">
        <f t="shared" si="5"/>
        <v>07:30</v>
      </c>
      <c r="AD32" s="3">
        <f t="shared" si="6"/>
        <v>0.3125</v>
      </c>
      <c r="AE32" s="1">
        <v>4</v>
      </c>
      <c r="AF32" s="1">
        <v>10</v>
      </c>
      <c r="AG32" s="1">
        <v>0</v>
      </c>
    </row>
    <row r="33" spans="28:33" x14ac:dyDescent="0.3">
      <c r="AB33" s="3">
        <v>0.313194444444444</v>
      </c>
      <c r="AC33" s="3" t="str">
        <f t="shared" si="5"/>
        <v>07:31</v>
      </c>
      <c r="AD33" s="3">
        <f t="shared" si="6"/>
        <v>0.31319444444444444</v>
      </c>
      <c r="AE33" s="1">
        <v>4</v>
      </c>
      <c r="AF33" s="1">
        <v>10</v>
      </c>
      <c r="AG33" s="1">
        <v>1</v>
      </c>
    </row>
    <row r="34" spans="28:33" x14ac:dyDescent="0.3">
      <c r="AB34" s="3">
        <v>0.31388888888888899</v>
      </c>
      <c r="AC34" s="3" t="str">
        <f t="shared" si="5"/>
        <v>07:32</v>
      </c>
      <c r="AD34" s="3">
        <f t="shared" si="6"/>
        <v>0.31388888888888888</v>
      </c>
      <c r="AE34" s="1">
        <v>4</v>
      </c>
      <c r="AF34" s="1">
        <v>10</v>
      </c>
      <c r="AG34" s="1">
        <v>2</v>
      </c>
    </row>
    <row r="35" spans="28:33" x14ac:dyDescent="0.3">
      <c r="AB35" s="3">
        <v>0.31458333333333299</v>
      </c>
      <c r="AC35" s="3" t="str">
        <f t="shared" si="5"/>
        <v>07:33</v>
      </c>
      <c r="AD35" s="3">
        <f t="shared" si="6"/>
        <v>0.31458333333333333</v>
      </c>
      <c r="AE35" s="1">
        <v>4</v>
      </c>
      <c r="AF35" s="1">
        <v>10</v>
      </c>
      <c r="AG35" s="1">
        <v>3</v>
      </c>
    </row>
    <row r="36" spans="28:33" x14ac:dyDescent="0.3">
      <c r="AB36" s="3">
        <v>0.31527777777777799</v>
      </c>
      <c r="AC36" s="3" t="str">
        <f t="shared" si="5"/>
        <v>07:34</v>
      </c>
      <c r="AD36" s="3">
        <f t="shared" si="6"/>
        <v>0.31527777777777777</v>
      </c>
      <c r="AE36" s="1">
        <v>4</v>
      </c>
      <c r="AF36" s="1">
        <v>10</v>
      </c>
      <c r="AG36" s="1">
        <v>4</v>
      </c>
    </row>
    <row r="37" spans="28:33" x14ac:dyDescent="0.3">
      <c r="AB37" s="3">
        <v>0.31597222222222199</v>
      </c>
      <c r="AC37" s="3" t="str">
        <f t="shared" si="5"/>
        <v>07:35</v>
      </c>
      <c r="AD37" s="3">
        <f t="shared" si="6"/>
        <v>0.31597222222222221</v>
      </c>
      <c r="AE37" s="1">
        <v>4</v>
      </c>
      <c r="AF37" s="1">
        <v>10</v>
      </c>
      <c r="AG37" s="1">
        <v>5</v>
      </c>
    </row>
    <row r="38" spans="28:33" x14ac:dyDescent="0.3">
      <c r="AB38" s="3">
        <v>0.31666666666666698</v>
      </c>
      <c r="AC38" s="3" t="str">
        <f t="shared" si="5"/>
        <v>07:36</v>
      </c>
      <c r="AD38" s="3">
        <f t="shared" si="6"/>
        <v>0.31666666666666665</v>
      </c>
      <c r="AE38" s="1">
        <v>4</v>
      </c>
      <c r="AF38" s="1">
        <v>10</v>
      </c>
      <c r="AG38" s="1">
        <v>6</v>
      </c>
    </row>
    <row r="39" spans="28:33" x14ac:dyDescent="0.3">
      <c r="AB39" s="3">
        <v>0.31736111111111098</v>
      </c>
      <c r="AC39" s="3" t="str">
        <f t="shared" si="5"/>
        <v>07:37</v>
      </c>
      <c r="AD39" s="3">
        <f t="shared" si="6"/>
        <v>0.31736111111111115</v>
      </c>
      <c r="AE39" s="1">
        <v>4</v>
      </c>
      <c r="AF39" s="1">
        <v>10</v>
      </c>
      <c r="AG39" s="1">
        <v>7</v>
      </c>
    </row>
    <row r="40" spans="28:33" x14ac:dyDescent="0.3">
      <c r="AB40" s="3">
        <v>0.31805555555555498</v>
      </c>
      <c r="AC40" s="3" t="str">
        <f t="shared" si="5"/>
        <v>07:38</v>
      </c>
      <c r="AD40" s="3">
        <f t="shared" si="6"/>
        <v>0.31805555555555554</v>
      </c>
      <c r="AE40" s="1">
        <v>4</v>
      </c>
      <c r="AF40" s="1">
        <v>10</v>
      </c>
      <c r="AG40" s="1">
        <v>8</v>
      </c>
    </row>
    <row r="41" spans="28:33" x14ac:dyDescent="0.3">
      <c r="AB41" s="3">
        <v>0.31874999999999998</v>
      </c>
      <c r="AC41" s="3" t="str">
        <f t="shared" si="5"/>
        <v>07:39</v>
      </c>
      <c r="AD41" s="3">
        <f t="shared" si="6"/>
        <v>0.31875000000000003</v>
      </c>
      <c r="AE41" s="1">
        <v>4</v>
      </c>
      <c r="AF41" s="1">
        <v>10</v>
      </c>
      <c r="AG41" s="1">
        <v>9</v>
      </c>
    </row>
    <row r="42" spans="28:33" x14ac:dyDescent="0.3">
      <c r="AB42" s="3">
        <v>0.31944444444444398</v>
      </c>
      <c r="AC42" s="3" t="str">
        <f t="shared" si="5"/>
        <v>07:40</v>
      </c>
      <c r="AD42" s="3">
        <f t="shared" si="6"/>
        <v>0.31944444444444448</v>
      </c>
      <c r="AE42" s="1">
        <v>5</v>
      </c>
      <c r="AF42" s="1">
        <v>10</v>
      </c>
      <c r="AG42" s="1">
        <v>0</v>
      </c>
    </row>
    <row r="43" spans="28:33" x14ac:dyDescent="0.3">
      <c r="AB43" s="3">
        <v>0.32013888888888897</v>
      </c>
      <c r="AC43" s="3" t="str">
        <f t="shared" si="5"/>
        <v>07:41</v>
      </c>
      <c r="AD43" s="3">
        <f t="shared" si="6"/>
        <v>0.32013888888888892</v>
      </c>
      <c r="AE43" s="1">
        <v>5</v>
      </c>
      <c r="AF43" s="1">
        <v>10</v>
      </c>
      <c r="AG43" s="1">
        <v>1</v>
      </c>
    </row>
    <row r="44" spans="28:33" x14ac:dyDescent="0.3">
      <c r="AB44" s="3">
        <v>0.32083333333333303</v>
      </c>
      <c r="AC44" s="3" t="str">
        <f t="shared" si="5"/>
        <v>07:42</v>
      </c>
      <c r="AD44" s="3">
        <f t="shared" si="6"/>
        <v>0.32083333333333336</v>
      </c>
      <c r="AE44" s="1">
        <v>5</v>
      </c>
      <c r="AF44" s="1">
        <v>10</v>
      </c>
      <c r="AG44" s="1">
        <v>2</v>
      </c>
    </row>
    <row r="45" spans="28:33" x14ac:dyDescent="0.3">
      <c r="AB45" s="3">
        <v>0.32152777777777802</v>
      </c>
      <c r="AC45" s="3" t="str">
        <f t="shared" si="5"/>
        <v>07:43</v>
      </c>
      <c r="AD45" s="3">
        <f t="shared" si="6"/>
        <v>0.3215277777777778</v>
      </c>
      <c r="AE45" s="1">
        <v>5</v>
      </c>
      <c r="AF45" s="1">
        <v>10</v>
      </c>
      <c r="AG45" s="1">
        <v>3</v>
      </c>
    </row>
    <row r="46" spans="28:33" x14ac:dyDescent="0.3">
      <c r="AB46" s="3">
        <v>0.32222222222222202</v>
      </c>
      <c r="AC46" s="3" t="str">
        <f t="shared" si="5"/>
        <v>07:44</v>
      </c>
      <c r="AD46" s="3">
        <f t="shared" si="6"/>
        <v>0.32222222222222224</v>
      </c>
      <c r="AE46" s="1">
        <v>5</v>
      </c>
      <c r="AF46" s="1">
        <v>10</v>
      </c>
      <c r="AG46" s="1">
        <v>4</v>
      </c>
    </row>
    <row r="47" spans="28:33" x14ac:dyDescent="0.3">
      <c r="AB47" s="3">
        <v>0.32291666666666702</v>
      </c>
      <c r="AC47" s="3" t="str">
        <f t="shared" si="5"/>
        <v>07:45</v>
      </c>
      <c r="AD47" s="3">
        <f t="shared" si="6"/>
        <v>0.32291666666666669</v>
      </c>
      <c r="AE47" s="1">
        <v>5</v>
      </c>
      <c r="AF47" s="1">
        <v>10</v>
      </c>
      <c r="AG47" s="1">
        <v>5</v>
      </c>
    </row>
    <row r="48" spans="28:33" x14ac:dyDescent="0.3">
      <c r="AB48" s="3">
        <v>0.32361111111111102</v>
      </c>
      <c r="AC48" s="3" t="str">
        <f t="shared" si="5"/>
        <v>07:46</v>
      </c>
      <c r="AD48" s="3">
        <f t="shared" si="6"/>
        <v>0.32361111111111113</v>
      </c>
      <c r="AE48" s="1">
        <v>5</v>
      </c>
      <c r="AF48" s="1">
        <v>10</v>
      </c>
      <c r="AG48" s="1">
        <v>6</v>
      </c>
    </row>
    <row r="49" spans="28:33" x14ac:dyDescent="0.3">
      <c r="AB49" s="3">
        <v>0.32430555555555601</v>
      </c>
      <c r="AC49" s="3" t="str">
        <f t="shared" si="5"/>
        <v>07:47</v>
      </c>
      <c r="AD49" s="3">
        <f t="shared" si="6"/>
        <v>0.32430555555555557</v>
      </c>
      <c r="AE49" s="1">
        <v>5</v>
      </c>
      <c r="AF49" s="1">
        <v>10</v>
      </c>
      <c r="AG49" s="1">
        <v>7</v>
      </c>
    </row>
    <row r="50" spans="28:33" x14ac:dyDescent="0.3">
      <c r="AB50" s="3">
        <v>0.32500000000000001</v>
      </c>
      <c r="AC50" s="3" t="str">
        <f t="shared" si="5"/>
        <v>07:48</v>
      </c>
      <c r="AD50" s="3">
        <f t="shared" si="6"/>
        <v>0.32500000000000001</v>
      </c>
      <c r="AE50" s="1">
        <v>5</v>
      </c>
      <c r="AF50" s="1">
        <v>10</v>
      </c>
      <c r="AG50" s="1">
        <v>8</v>
      </c>
    </row>
    <row r="51" spans="28:33" x14ac:dyDescent="0.3">
      <c r="AB51" s="3">
        <v>0.32569444444444401</v>
      </c>
      <c r="AC51" s="3" t="str">
        <f t="shared" si="5"/>
        <v>07:49</v>
      </c>
      <c r="AD51" s="3">
        <f t="shared" si="6"/>
        <v>0.32569444444444445</v>
      </c>
      <c r="AE51" s="1">
        <v>5</v>
      </c>
      <c r="AF51" s="1">
        <v>10</v>
      </c>
      <c r="AG51" s="1">
        <v>9</v>
      </c>
    </row>
    <row r="52" spans="28:33" x14ac:dyDescent="0.3">
      <c r="AB52" s="3">
        <v>0.32638888888888901</v>
      </c>
      <c r="AC52" s="3" t="str">
        <f t="shared" si="5"/>
        <v>07:50</v>
      </c>
      <c r="AD52" s="3">
        <f t="shared" si="6"/>
        <v>0.3263888888888889</v>
      </c>
      <c r="AE52" s="1">
        <v>6</v>
      </c>
      <c r="AF52" s="1">
        <v>10</v>
      </c>
      <c r="AG52" s="1">
        <v>0</v>
      </c>
    </row>
    <row r="53" spans="28:33" x14ac:dyDescent="0.3">
      <c r="AB53" s="3">
        <v>0.327083333333333</v>
      </c>
      <c r="AC53" s="3" t="str">
        <f t="shared" si="5"/>
        <v>07:51</v>
      </c>
      <c r="AD53" s="3">
        <f t="shared" si="6"/>
        <v>0.32708333333333334</v>
      </c>
      <c r="AE53" s="1">
        <v>6</v>
      </c>
      <c r="AF53" s="1">
        <v>10</v>
      </c>
      <c r="AG53" s="1">
        <v>1</v>
      </c>
    </row>
    <row r="54" spans="28:33" x14ac:dyDescent="0.3">
      <c r="AB54" s="3">
        <v>0.327777777777778</v>
      </c>
      <c r="AC54" s="3" t="str">
        <f t="shared" si="5"/>
        <v>07:52</v>
      </c>
      <c r="AD54" s="3">
        <f t="shared" si="6"/>
        <v>0.32777777777777778</v>
      </c>
      <c r="AE54" s="1">
        <v>6</v>
      </c>
      <c r="AF54" s="1">
        <v>10</v>
      </c>
      <c r="AG54" s="1">
        <v>2</v>
      </c>
    </row>
    <row r="55" spans="28:33" x14ac:dyDescent="0.3">
      <c r="AB55" s="3">
        <v>0.328472222222222</v>
      </c>
      <c r="AC55" s="3" t="str">
        <f t="shared" si="5"/>
        <v>07:53</v>
      </c>
      <c r="AD55" s="3">
        <f t="shared" si="6"/>
        <v>0.32847222222222222</v>
      </c>
      <c r="AE55" s="1">
        <v>6</v>
      </c>
      <c r="AF55" s="1">
        <v>10</v>
      </c>
      <c r="AG55" s="1">
        <v>3</v>
      </c>
    </row>
    <row r="56" spans="28:33" x14ac:dyDescent="0.3">
      <c r="AB56" s="3">
        <v>0.329166666666667</v>
      </c>
      <c r="AC56" s="3" t="str">
        <f t="shared" si="5"/>
        <v>07:54</v>
      </c>
      <c r="AD56" s="3">
        <f t="shared" si="6"/>
        <v>0.32916666666666666</v>
      </c>
      <c r="AE56" s="1">
        <v>6</v>
      </c>
      <c r="AF56" s="1">
        <v>10</v>
      </c>
      <c r="AG56" s="1">
        <v>4</v>
      </c>
    </row>
    <row r="57" spans="28:33" x14ac:dyDescent="0.3">
      <c r="AB57" s="3">
        <v>0.32986111111111099</v>
      </c>
      <c r="AC57" s="3" t="str">
        <f t="shared" si="5"/>
        <v>07:55</v>
      </c>
      <c r="AD57" s="3">
        <f t="shared" si="6"/>
        <v>0.3298611111111111</v>
      </c>
      <c r="AE57" s="1">
        <v>6</v>
      </c>
      <c r="AF57" s="1">
        <v>10</v>
      </c>
      <c r="AG57" s="1">
        <v>5</v>
      </c>
    </row>
    <row r="58" spans="28:33" x14ac:dyDescent="0.3">
      <c r="AB58" s="3">
        <v>0.33055555555555499</v>
      </c>
      <c r="AC58" s="3" t="str">
        <f t="shared" si="5"/>
        <v>07:56</v>
      </c>
      <c r="AD58" s="3">
        <f t="shared" si="6"/>
        <v>0.33055555555555555</v>
      </c>
      <c r="AE58" s="1">
        <v>6</v>
      </c>
      <c r="AF58" s="1">
        <v>10</v>
      </c>
      <c r="AG58" s="1">
        <v>6</v>
      </c>
    </row>
    <row r="59" spans="28:33" x14ac:dyDescent="0.3">
      <c r="AB59" s="3">
        <v>0.33124999999999999</v>
      </c>
      <c r="AC59" s="3" t="str">
        <f t="shared" si="5"/>
        <v>07:57</v>
      </c>
      <c r="AD59" s="3">
        <f t="shared" si="6"/>
        <v>0.33124999999999999</v>
      </c>
      <c r="AE59" s="1">
        <v>6</v>
      </c>
      <c r="AF59" s="1">
        <v>10</v>
      </c>
      <c r="AG59" s="1">
        <v>7</v>
      </c>
    </row>
    <row r="60" spans="28:33" x14ac:dyDescent="0.3">
      <c r="AB60" s="3">
        <v>0.33194444444444399</v>
      </c>
      <c r="AC60" s="3" t="str">
        <f t="shared" si="5"/>
        <v>07:58</v>
      </c>
      <c r="AD60" s="3">
        <f t="shared" si="6"/>
        <v>0.33194444444444443</v>
      </c>
      <c r="AE60" s="1">
        <v>6</v>
      </c>
      <c r="AF60" s="1">
        <v>10</v>
      </c>
      <c r="AG60" s="1">
        <v>8</v>
      </c>
    </row>
    <row r="61" spans="28:33" x14ac:dyDescent="0.3">
      <c r="AB61" s="3">
        <v>0.33263888888888898</v>
      </c>
      <c r="AC61" s="3" t="str">
        <f t="shared" si="5"/>
        <v>07:59</v>
      </c>
      <c r="AD61" s="3">
        <f t="shared" si="6"/>
        <v>0.33263888888888887</v>
      </c>
      <c r="AE61" s="1">
        <v>6</v>
      </c>
      <c r="AF61" s="1">
        <v>10</v>
      </c>
      <c r="AG61" s="1">
        <v>9</v>
      </c>
    </row>
    <row r="62" spans="28:33" x14ac:dyDescent="0.3">
      <c r="AB62" s="3">
        <v>0.33333333333333298</v>
      </c>
      <c r="AC62" s="3" t="str">
        <f t="shared" si="5"/>
        <v>08:00</v>
      </c>
      <c r="AD62" s="3">
        <f t="shared" si="6"/>
        <v>0.33333333333333331</v>
      </c>
      <c r="AE62" s="1">
        <v>7</v>
      </c>
      <c r="AF62" s="1">
        <v>10</v>
      </c>
      <c r="AG62" s="1">
        <v>0</v>
      </c>
    </row>
    <row r="63" spans="28:33" x14ac:dyDescent="0.3">
      <c r="AB63" s="3">
        <v>0.33402777777777798</v>
      </c>
      <c r="AC63" s="3" t="str">
        <f t="shared" si="5"/>
        <v>08:01</v>
      </c>
      <c r="AD63" s="3">
        <f t="shared" si="6"/>
        <v>0.33402777777777781</v>
      </c>
      <c r="AE63" s="1">
        <v>7</v>
      </c>
      <c r="AF63" s="1">
        <v>10</v>
      </c>
      <c r="AG63" s="1">
        <v>1</v>
      </c>
    </row>
    <row r="64" spans="28:33" x14ac:dyDescent="0.3">
      <c r="AB64" s="3">
        <v>0.33472222222222198</v>
      </c>
      <c r="AC64" s="3" t="str">
        <f t="shared" si="5"/>
        <v>08:02</v>
      </c>
      <c r="AD64" s="3">
        <f t="shared" si="6"/>
        <v>0.3347222222222222</v>
      </c>
      <c r="AE64" s="1">
        <v>7</v>
      </c>
      <c r="AF64" s="1">
        <v>10</v>
      </c>
      <c r="AG64" s="1">
        <v>2</v>
      </c>
    </row>
    <row r="65" spans="28:33" x14ac:dyDescent="0.3">
      <c r="AB65" s="3">
        <v>0.33541666666666597</v>
      </c>
      <c r="AC65" s="3" t="str">
        <f t="shared" si="5"/>
        <v>08:03</v>
      </c>
      <c r="AD65" s="3">
        <f t="shared" si="6"/>
        <v>0.3354166666666667</v>
      </c>
      <c r="AE65" s="1">
        <v>7</v>
      </c>
      <c r="AF65" s="1">
        <v>10</v>
      </c>
      <c r="AG65" s="1">
        <v>3</v>
      </c>
    </row>
    <row r="66" spans="28:33" x14ac:dyDescent="0.3">
      <c r="AB66" s="3">
        <v>0.33611111111111103</v>
      </c>
      <c r="AC66" s="3" t="str">
        <f t="shared" si="5"/>
        <v>08:04</v>
      </c>
      <c r="AD66" s="3">
        <f t="shared" si="6"/>
        <v>0.33611111111111108</v>
      </c>
      <c r="AE66" s="1">
        <v>7</v>
      </c>
      <c r="AF66" s="1">
        <v>10</v>
      </c>
      <c r="AG66" s="1">
        <v>4</v>
      </c>
    </row>
    <row r="67" spans="28:33" x14ac:dyDescent="0.3">
      <c r="AB67" s="3">
        <v>0.33680555555555503</v>
      </c>
      <c r="AC67" s="3" t="str">
        <f t="shared" ref="AC67:AC130" si="16">TEXT(AB67,"hh:mm")</f>
        <v>08:05</v>
      </c>
      <c r="AD67" s="3">
        <f t="shared" ref="AD67:AD130" si="17">VALUE(AC67)</f>
        <v>0.33680555555555558</v>
      </c>
      <c r="AE67" s="1">
        <v>7</v>
      </c>
      <c r="AF67" s="1">
        <v>10</v>
      </c>
      <c r="AG67" s="1">
        <v>5</v>
      </c>
    </row>
    <row r="68" spans="28:33" x14ac:dyDescent="0.3">
      <c r="AB68" s="3">
        <v>0.33750000000000002</v>
      </c>
      <c r="AC68" s="3" t="str">
        <f t="shared" si="16"/>
        <v>08:06</v>
      </c>
      <c r="AD68" s="3">
        <f t="shared" si="17"/>
        <v>0.33749999999999997</v>
      </c>
      <c r="AE68" s="1">
        <v>7</v>
      </c>
      <c r="AF68" s="1">
        <v>10</v>
      </c>
      <c r="AG68" s="1">
        <v>6</v>
      </c>
    </row>
    <row r="69" spans="28:33" x14ac:dyDescent="0.3">
      <c r="AB69" s="3">
        <v>0.33819444444444402</v>
      </c>
      <c r="AC69" s="3" t="str">
        <f t="shared" si="16"/>
        <v>08:07</v>
      </c>
      <c r="AD69" s="3">
        <f t="shared" si="17"/>
        <v>0.33819444444444446</v>
      </c>
      <c r="AE69" s="1">
        <v>7</v>
      </c>
      <c r="AF69" s="1">
        <v>10</v>
      </c>
      <c r="AG69" s="1">
        <v>7</v>
      </c>
    </row>
    <row r="70" spans="28:33" x14ac:dyDescent="0.3">
      <c r="AB70" s="3">
        <v>0.33888888888888902</v>
      </c>
      <c r="AC70" s="3" t="str">
        <f t="shared" si="16"/>
        <v>08:08</v>
      </c>
      <c r="AD70" s="3">
        <f t="shared" si="17"/>
        <v>0.33888888888888885</v>
      </c>
      <c r="AE70" s="1">
        <v>7</v>
      </c>
      <c r="AF70" s="1">
        <v>10</v>
      </c>
      <c r="AG70" s="1">
        <v>8</v>
      </c>
    </row>
    <row r="71" spans="28:33" x14ac:dyDescent="0.3">
      <c r="AB71" s="3">
        <v>0.33958333333333302</v>
      </c>
      <c r="AC71" s="3" t="str">
        <f t="shared" si="16"/>
        <v>08:09</v>
      </c>
      <c r="AD71" s="3">
        <f t="shared" si="17"/>
        <v>0.33958333333333335</v>
      </c>
      <c r="AE71" s="1">
        <v>7</v>
      </c>
      <c r="AF71" s="1">
        <v>10</v>
      </c>
      <c r="AG71" s="1">
        <v>9</v>
      </c>
    </row>
    <row r="72" spans="28:33" x14ac:dyDescent="0.3">
      <c r="AB72" s="3">
        <v>0.34027777777777801</v>
      </c>
      <c r="AC72" s="3" t="str">
        <f t="shared" si="16"/>
        <v>08:10</v>
      </c>
      <c r="AD72" s="3">
        <f t="shared" si="17"/>
        <v>0.34027777777777773</v>
      </c>
      <c r="AE72" s="1">
        <v>8</v>
      </c>
      <c r="AF72" s="1">
        <v>10</v>
      </c>
      <c r="AG72" s="1">
        <v>0</v>
      </c>
    </row>
    <row r="73" spans="28:33" x14ac:dyDescent="0.3">
      <c r="AB73" s="3">
        <v>0.34097222222222201</v>
      </c>
      <c r="AC73" s="3" t="str">
        <f t="shared" si="16"/>
        <v>08:11</v>
      </c>
      <c r="AD73" s="3">
        <f t="shared" si="17"/>
        <v>0.34097222222222223</v>
      </c>
      <c r="AE73" s="1">
        <v>8</v>
      </c>
      <c r="AF73" s="1">
        <v>10</v>
      </c>
      <c r="AG73" s="1">
        <v>1</v>
      </c>
    </row>
    <row r="74" spans="28:33" x14ac:dyDescent="0.3">
      <c r="AB74" s="3">
        <v>0.34166666666666701</v>
      </c>
      <c r="AC74" s="3" t="str">
        <f t="shared" si="16"/>
        <v>08:12</v>
      </c>
      <c r="AD74" s="3">
        <f t="shared" si="17"/>
        <v>0.34166666666666662</v>
      </c>
      <c r="AE74" s="1">
        <v>8</v>
      </c>
      <c r="AF74" s="1">
        <v>10</v>
      </c>
      <c r="AG74" s="1">
        <v>2</v>
      </c>
    </row>
    <row r="75" spans="28:33" x14ac:dyDescent="0.3">
      <c r="AB75" s="3">
        <v>0.34236111111111101</v>
      </c>
      <c r="AC75" s="3" t="str">
        <f t="shared" si="16"/>
        <v>08:13</v>
      </c>
      <c r="AD75" s="3">
        <f t="shared" si="17"/>
        <v>0.34236111111111112</v>
      </c>
      <c r="AE75" s="1">
        <v>8</v>
      </c>
      <c r="AF75" s="1">
        <v>10</v>
      </c>
      <c r="AG75" s="1">
        <v>3</v>
      </c>
    </row>
    <row r="76" spans="28:33" x14ac:dyDescent="0.3">
      <c r="AB76" s="3">
        <v>0.343055555555555</v>
      </c>
      <c r="AC76" s="3" t="str">
        <f t="shared" si="16"/>
        <v>08:14</v>
      </c>
      <c r="AD76" s="3">
        <f t="shared" si="17"/>
        <v>0.3430555555555555</v>
      </c>
      <c r="AE76" s="1">
        <v>8</v>
      </c>
      <c r="AF76" s="1">
        <v>10</v>
      </c>
      <c r="AG76" s="1">
        <v>4</v>
      </c>
    </row>
    <row r="77" spans="28:33" x14ac:dyDescent="0.3">
      <c r="AB77" s="3">
        <v>0.34375</v>
      </c>
      <c r="AC77" s="3" t="str">
        <f t="shared" si="16"/>
        <v>08:15</v>
      </c>
      <c r="AD77" s="3">
        <f t="shared" si="17"/>
        <v>0.34375</v>
      </c>
      <c r="AE77" s="1">
        <v>8</v>
      </c>
      <c r="AF77" s="1">
        <v>10</v>
      </c>
      <c r="AG77" s="1">
        <v>5</v>
      </c>
    </row>
    <row r="78" spans="28:33" x14ac:dyDescent="0.3">
      <c r="AB78" s="3">
        <v>0.344444444444444</v>
      </c>
      <c r="AC78" s="3" t="str">
        <f t="shared" si="16"/>
        <v>08:16</v>
      </c>
      <c r="AD78" s="3">
        <f t="shared" si="17"/>
        <v>0.3444444444444445</v>
      </c>
      <c r="AE78" s="1">
        <v>8</v>
      </c>
      <c r="AF78" s="1">
        <v>10</v>
      </c>
      <c r="AG78" s="1">
        <v>6</v>
      </c>
    </row>
    <row r="79" spans="28:33" x14ac:dyDescent="0.3">
      <c r="AB79" s="3">
        <v>0.34513888888888899</v>
      </c>
      <c r="AC79" s="3" t="str">
        <f t="shared" si="16"/>
        <v>08:17</v>
      </c>
      <c r="AD79" s="3">
        <f t="shared" si="17"/>
        <v>0.34513888888888888</v>
      </c>
      <c r="AE79" s="1">
        <v>8</v>
      </c>
      <c r="AF79" s="1">
        <v>10</v>
      </c>
      <c r="AG79" s="1">
        <v>7</v>
      </c>
    </row>
    <row r="80" spans="28:33" x14ac:dyDescent="0.3">
      <c r="AB80" s="3">
        <v>0.34583333333333299</v>
      </c>
      <c r="AC80" s="3" t="str">
        <f t="shared" si="16"/>
        <v>08:18</v>
      </c>
      <c r="AD80" s="3">
        <f t="shared" si="17"/>
        <v>0.34583333333333338</v>
      </c>
      <c r="AE80" s="1">
        <v>8</v>
      </c>
      <c r="AF80" s="1">
        <v>10</v>
      </c>
      <c r="AG80" s="1">
        <v>8</v>
      </c>
    </row>
    <row r="81" spans="28:33" x14ac:dyDescent="0.3">
      <c r="AB81" s="3">
        <v>0.34652777777777799</v>
      </c>
      <c r="AC81" s="3" t="str">
        <f t="shared" si="16"/>
        <v>08:19</v>
      </c>
      <c r="AD81" s="3">
        <f t="shared" si="17"/>
        <v>0.34652777777777777</v>
      </c>
      <c r="AE81" s="1">
        <v>8</v>
      </c>
      <c r="AF81" s="1">
        <v>10</v>
      </c>
      <c r="AG81" s="1">
        <v>9</v>
      </c>
    </row>
    <row r="82" spans="28:33" x14ac:dyDescent="0.3">
      <c r="AB82" s="3">
        <v>0.34722222222222199</v>
      </c>
      <c r="AC82" s="3" t="str">
        <f t="shared" si="16"/>
        <v>08:20</v>
      </c>
      <c r="AD82" s="3">
        <f t="shared" si="17"/>
        <v>0.34722222222222227</v>
      </c>
      <c r="AE82" s="1">
        <v>9</v>
      </c>
      <c r="AF82" s="1">
        <v>10</v>
      </c>
      <c r="AG82" s="1">
        <v>0</v>
      </c>
    </row>
    <row r="83" spans="28:33" x14ac:dyDescent="0.3">
      <c r="AB83" s="3">
        <v>0.34791666666666599</v>
      </c>
      <c r="AC83" s="3" t="str">
        <f t="shared" si="16"/>
        <v>08:21</v>
      </c>
      <c r="AD83" s="3">
        <f t="shared" si="17"/>
        <v>0.34791666666666665</v>
      </c>
      <c r="AE83" s="1">
        <v>9</v>
      </c>
      <c r="AF83" s="1">
        <v>10</v>
      </c>
      <c r="AG83" s="1">
        <v>1</v>
      </c>
    </row>
    <row r="84" spans="28:33" x14ac:dyDescent="0.3">
      <c r="AB84" s="3">
        <v>0.34861111111111098</v>
      </c>
      <c r="AC84" s="3" t="str">
        <f t="shared" si="16"/>
        <v>08:22</v>
      </c>
      <c r="AD84" s="3">
        <f t="shared" si="17"/>
        <v>0.34861111111111115</v>
      </c>
      <c r="AE84" s="1">
        <v>9</v>
      </c>
      <c r="AF84" s="1">
        <v>10</v>
      </c>
      <c r="AG84" s="1">
        <v>2</v>
      </c>
    </row>
    <row r="85" spans="28:33" x14ac:dyDescent="0.3">
      <c r="AB85" s="3">
        <v>0.34930555555555498</v>
      </c>
      <c r="AC85" s="3" t="str">
        <f t="shared" si="16"/>
        <v>08:23</v>
      </c>
      <c r="AD85" s="3">
        <f t="shared" si="17"/>
        <v>0.34930555555555554</v>
      </c>
      <c r="AE85" s="1">
        <v>9</v>
      </c>
      <c r="AF85" s="1">
        <v>10</v>
      </c>
      <c r="AG85" s="1">
        <v>3</v>
      </c>
    </row>
    <row r="86" spans="28:33" x14ac:dyDescent="0.3">
      <c r="AB86" s="3">
        <v>0.35</v>
      </c>
      <c r="AC86" s="3" t="str">
        <f t="shared" si="16"/>
        <v>08:24</v>
      </c>
      <c r="AD86" s="3">
        <f t="shared" si="17"/>
        <v>0.35000000000000003</v>
      </c>
      <c r="AE86" s="1">
        <v>9</v>
      </c>
      <c r="AF86" s="1">
        <v>10</v>
      </c>
      <c r="AG86" s="1">
        <v>4</v>
      </c>
    </row>
    <row r="87" spans="28:33" x14ac:dyDescent="0.3">
      <c r="AB87" s="3">
        <v>0.35069444444444398</v>
      </c>
      <c r="AC87" s="3" t="str">
        <f t="shared" si="16"/>
        <v>08:25</v>
      </c>
      <c r="AD87" s="3">
        <f t="shared" si="17"/>
        <v>0.35069444444444442</v>
      </c>
      <c r="AE87" s="1">
        <v>9</v>
      </c>
      <c r="AF87" s="1">
        <v>10</v>
      </c>
      <c r="AG87" s="1">
        <v>5</v>
      </c>
    </row>
    <row r="88" spans="28:33" x14ac:dyDescent="0.3">
      <c r="AB88" s="3">
        <v>0.35138888888888897</v>
      </c>
      <c r="AC88" s="3" t="str">
        <f t="shared" si="16"/>
        <v>08:26</v>
      </c>
      <c r="AD88" s="3">
        <f t="shared" si="17"/>
        <v>0.35138888888888892</v>
      </c>
      <c r="AE88" s="1">
        <v>9</v>
      </c>
      <c r="AF88" s="1">
        <v>10</v>
      </c>
      <c r="AG88" s="1">
        <v>6</v>
      </c>
    </row>
    <row r="89" spans="28:33" x14ac:dyDescent="0.3">
      <c r="AB89" s="3">
        <v>0.35208333333333303</v>
      </c>
      <c r="AC89" s="3" t="str">
        <f t="shared" si="16"/>
        <v>08:27</v>
      </c>
      <c r="AD89" s="3">
        <f t="shared" si="17"/>
        <v>0.3520833333333333</v>
      </c>
      <c r="AE89" s="1">
        <v>9</v>
      </c>
      <c r="AF89" s="1">
        <v>10</v>
      </c>
      <c r="AG89" s="1">
        <v>7</v>
      </c>
    </row>
    <row r="90" spans="28:33" x14ac:dyDescent="0.3">
      <c r="AB90" s="3">
        <v>0.35277777777777802</v>
      </c>
      <c r="AC90" s="3" t="str">
        <f t="shared" si="16"/>
        <v>08:28</v>
      </c>
      <c r="AD90" s="3">
        <f t="shared" si="17"/>
        <v>0.3527777777777778</v>
      </c>
      <c r="AE90" s="1">
        <v>9</v>
      </c>
      <c r="AF90" s="1">
        <v>10</v>
      </c>
      <c r="AG90" s="1">
        <v>8</v>
      </c>
    </row>
    <row r="91" spans="28:33" x14ac:dyDescent="0.3">
      <c r="AB91" s="3">
        <v>0.35347222222222202</v>
      </c>
      <c r="AC91" s="3" t="str">
        <f t="shared" si="16"/>
        <v>08:29</v>
      </c>
      <c r="AD91" s="3">
        <f t="shared" si="17"/>
        <v>0.35347222222222219</v>
      </c>
      <c r="AE91" s="1">
        <v>9</v>
      </c>
      <c r="AF91" s="1">
        <v>10</v>
      </c>
      <c r="AG91" s="1">
        <v>9</v>
      </c>
    </row>
    <row r="92" spans="28:33" x14ac:dyDescent="0.3">
      <c r="AB92" s="3">
        <v>0.35416666666666602</v>
      </c>
      <c r="AC92" s="3" t="str">
        <f t="shared" si="16"/>
        <v>08:30</v>
      </c>
      <c r="AD92" s="3">
        <f t="shared" si="17"/>
        <v>0.35416666666666669</v>
      </c>
      <c r="AE92" s="1">
        <v>10</v>
      </c>
      <c r="AF92" s="1">
        <v>10</v>
      </c>
      <c r="AG92" s="1">
        <v>0</v>
      </c>
    </row>
    <row r="93" spans="28:33" x14ac:dyDescent="0.3">
      <c r="AB93" s="3">
        <v>0.35486111111111102</v>
      </c>
      <c r="AC93" s="3" t="str">
        <f t="shared" si="16"/>
        <v>08:31</v>
      </c>
      <c r="AD93" s="3">
        <f t="shared" si="17"/>
        <v>0.35486111111111113</v>
      </c>
      <c r="AE93" s="1">
        <v>10</v>
      </c>
      <c r="AF93" s="1">
        <v>10</v>
      </c>
      <c r="AG93" s="1">
        <v>1</v>
      </c>
    </row>
    <row r="94" spans="28:33" x14ac:dyDescent="0.3">
      <c r="AB94" s="3">
        <v>0.35555555555555501</v>
      </c>
      <c r="AC94" s="3" t="str">
        <f t="shared" si="16"/>
        <v>08:32</v>
      </c>
      <c r="AD94" s="3">
        <f t="shared" si="17"/>
        <v>0.35555555555555557</v>
      </c>
      <c r="AE94" s="1">
        <v>10</v>
      </c>
      <c r="AF94" s="1">
        <v>10</v>
      </c>
      <c r="AG94" s="1">
        <v>2</v>
      </c>
    </row>
    <row r="95" spans="28:33" x14ac:dyDescent="0.3">
      <c r="AB95" s="3">
        <v>0.35625000000000001</v>
      </c>
      <c r="AC95" s="3" t="str">
        <f t="shared" si="16"/>
        <v>08:33</v>
      </c>
      <c r="AD95" s="3">
        <f t="shared" si="17"/>
        <v>0.35625000000000001</v>
      </c>
      <c r="AE95" s="1">
        <v>10</v>
      </c>
      <c r="AF95" s="1">
        <v>10</v>
      </c>
      <c r="AG95" s="1">
        <v>3</v>
      </c>
    </row>
    <row r="96" spans="28:33" x14ac:dyDescent="0.3">
      <c r="AB96" s="3">
        <v>0.35694444444444401</v>
      </c>
      <c r="AC96" s="3" t="str">
        <f t="shared" si="16"/>
        <v>08:34</v>
      </c>
      <c r="AD96" s="3">
        <f t="shared" si="17"/>
        <v>0.35694444444444445</v>
      </c>
      <c r="AE96" s="1">
        <v>10</v>
      </c>
      <c r="AF96" s="1">
        <v>10</v>
      </c>
      <c r="AG96" s="1">
        <v>4</v>
      </c>
    </row>
    <row r="97" spans="28:33" x14ac:dyDescent="0.3">
      <c r="AB97" s="3">
        <v>0.35763888888888901</v>
      </c>
      <c r="AC97" s="3" t="str">
        <f t="shared" si="16"/>
        <v>08:35</v>
      </c>
      <c r="AD97" s="3">
        <f t="shared" si="17"/>
        <v>0.3576388888888889</v>
      </c>
      <c r="AE97" s="1">
        <v>10</v>
      </c>
      <c r="AF97" s="1">
        <v>10</v>
      </c>
      <c r="AG97" s="1">
        <v>5</v>
      </c>
    </row>
    <row r="98" spans="28:33" x14ac:dyDescent="0.3">
      <c r="AB98" s="3">
        <v>0.358333333333333</v>
      </c>
      <c r="AC98" s="3" t="str">
        <f t="shared" si="16"/>
        <v>08:36</v>
      </c>
      <c r="AD98" s="3">
        <f t="shared" si="17"/>
        <v>0.35833333333333334</v>
      </c>
      <c r="AE98" s="1">
        <v>10</v>
      </c>
      <c r="AF98" s="1">
        <v>10</v>
      </c>
      <c r="AG98" s="1">
        <v>6</v>
      </c>
    </row>
    <row r="99" spans="28:33" x14ac:dyDescent="0.3">
      <c r="AB99" s="3">
        <v>0.359027777777778</v>
      </c>
      <c r="AC99" s="3" t="str">
        <f t="shared" si="16"/>
        <v>08:37</v>
      </c>
      <c r="AD99" s="3">
        <f t="shared" si="17"/>
        <v>0.35902777777777778</v>
      </c>
      <c r="AE99" s="1">
        <v>10</v>
      </c>
      <c r="AF99" s="1">
        <v>10</v>
      </c>
      <c r="AG99" s="1">
        <v>7</v>
      </c>
    </row>
    <row r="100" spans="28:33" x14ac:dyDescent="0.3">
      <c r="AB100" s="3">
        <v>0.359722222222222</v>
      </c>
      <c r="AC100" s="3" t="str">
        <f t="shared" si="16"/>
        <v>08:38</v>
      </c>
      <c r="AD100" s="3">
        <f t="shared" si="17"/>
        <v>0.35972222222222222</v>
      </c>
      <c r="AE100" s="1">
        <v>10</v>
      </c>
      <c r="AF100" s="1">
        <v>10</v>
      </c>
      <c r="AG100" s="1">
        <v>8</v>
      </c>
    </row>
    <row r="101" spans="28:33" x14ac:dyDescent="0.3">
      <c r="AB101" s="3">
        <v>0.360416666666666</v>
      </c>
      <c r="AC101" s="3" t="str">
        <f t="shared" si="16"/>
        <v>08:39</v>
      </c>
      <c r="AD101" s="3">
        <f t="shared" si="17"/>
        <v>0.36041666666666666</v>
      </c>
      <c r="AE101" s="1">
        <v>10</v>
      </c>
      <c r="AF101" s="1">
        <v>10</v>
      </c>
      <c r="AG101" s="1">
        <v>9</v>
      </c>
    </row>
    <row r="102" spans="28:33" x14ac:dyDescent="0.3">
      <c r="AB102" s="3">
        <v>0.36111111111111099</v>
      </c>
      <c r="AC102" s="3" t="str">
        <f t="shared" si="16"/>
        <v>08:40</v>
      </c>
      <c r="AD102" s="3">
        <f t="shared" si="17"/>
        <v>0.3611111111111111</v>
      </c>
      <c r="AE102" s="1">
        <v>11</v>
      </c>
      <c r="AF102" s="1">
        <v>10</v>
      </c>
      <c r="AG102" s="1">
        <v>0</v>
      </c>
    </row>
    <row r="103" spans="28:33" x14ac:dyDescent="0.3">
      <c r="AB103" s="3">
        <v>0.36180555555555499</v>
      </c>
      <c r="AC103" s="3" t="str">
        <f t="shared" si="16"/>
        <v>08:41</v>
      </c>
      <c r="AD103" s="3">
        <f t="shared" si="17"/>
        <v>0.36180555555555555</v>
      </c>
      <c r="AE103" s="1">
        <v>11</v>
      </c>
      <c r="AF103" s="1">
        <v>10</v>
      </c>
      <c r="AG103" s="1">
        <v>1</v>
      </c>
    </row>
    <row r="104" spans="28:33" x14ac:dyDescent="0.3">
      <c r="AB104" s="3">
        <v>0.36249999999999999</v>
      </c>
      <c r="AC104" s="3" t="str">
        <f t="shared" si="16"/>
        <v>08:42</v>
      </c>
      <c r="AD104" s="3">
        <f t="shared" si="17"/>
        <v>0.36249999999999999</v>
      </c>
      <c r="AE104" s="1">
        <v>11</v>
      </c>
      <c r="AF104" s="1">
        <v>10</v>
      </c>
      <c r="AG104" s="1">
        <v>2</v>
      </c>
    </row>
    <row r="105" spans="28:33" x14ac:dyDescent="0.3">
      <c r="AB105" s="3">
        <v>0.36319444444444399</v>
      </c>
      <c r="AC105" s="3" t="str">
        <f t="shared" si="16"/>
        <v>08:43</v>
      </c>
      <c r="AD105" s="3">
        <f t="shared" si="17"/>
        <v>0.36319444444444443</v>
      </c>
      <c r="AE105" s="1">
        <v>11</v>
      </c>
      <c r="AF105" s="1">
        <v>10</v>
      </c>
      <c r="AG105" s="1">
        <v>3</v>
      </c>
    </row>
    <row r="106" spans="28:33" x14ac:dyDescent="0.3">
      <c r="AB106" s="3">
        <v>0.36388888888888898</v>
      </c>
      <c r="AC106" s="3" t="str">
        <f t="shared" si="16"/>
        <v>08:44</v>
      </c>
      <c r="AD106" s="3">
        <f t="shared" si="17"/>
        <v>0.36388888888888887</v>
      </c>
      <c r="AE106" s="1">
        <v>11</v>
      </c>
      <c r="AF106" s="1">
        <v>10</v>
      </c>
      <c r="AG106" s="1">
        <v>4</v>
      </c>
    </row>
    <row r="107" spans="28:33" x14ac:dyDescent="0.3">
      <c r="AB107" s="3">
        <v>0.36458333333333298</v>
      </c>
      <c r="AC107" s="3" t="str">
        <f t="shared" si="16"/>
        <v>08:45</v>
      </c>
      <c r="AD107" s="3">
        <f t="shared" si="17"/>
        <v>0.36458333333333331</v>
      </c>
      <c r="AE107" s="1">
        <v>11</v>
      </c>
      <c r="AF107" s="1">
        <v>10</v>
      </c>
      <c r="AG107" s="1">
        <v>5</v>
      </c>
    </row>
    <row r="108" spans="28:33" x14ac:dyDescent="0.3">
      <c r="AB108" s="3">
        <v>0.36527777777777698</v>
      </c>
      <c r="AC108" s="3" t="str">
        <f t="shared" si="16"/>
        <v>08:46</v>
      </c>
      <c r="AD108" s="3">
        <f t="shared" si="17"/>
        <v>0.36527777777777781</v>
      </c>
      <c r="AE108" s="1">
        <v>11</v>
      </c>
      <c r="AF108" s="1">
        <v>10</v>
      </c>
      <c r="AG108" s="1">
        <v>6</v>
      </c>
    </row>
    <row r="109" spans="28:33" x14ac:dyDescent="0.3">
      <c r="AB109" s="3">
        <v>0.36597222222222198</v>
      </c>
      <c r="AC109" s="3" t="str">
        <f t="shared" si="16"/>
        <v>08:47</v>
      </c>
      <c r="AD109" s="3">
        <f t="shared" si="17"/>
        <v>0.3659722222222222</v>
      </c>
      <c r="AE109" s="1">
        <v>11</v>
      </c>
      <c r="AF109" s="1">
        <v>10</v>
      </c>
      <c r="AG109" s="1">
        <v>7</v>
      </c>
    </row>
    <row r="110" spans="28:33" x14ac:dyDescent="0.3">
      <c r="AB110" s="3">
        <v>0.36666666666666597</v>
      </c>
      <c r="AC110" s="3" t="str">
        <f t="shared" si="16"/>
        <v>08:48</v>
      </c>
      <c r="AD110" s="3">
        <f t="shared" si="17"/>
        <v>0.3666666666666667</v>
      </c>
      <c r="AE110" s="1">
        <v>11</v>
      </c>
      <c r="AF110" s="1">
        <v>10</v>
      </c>
      <c r="AG110" s="1">
        <v>8</v>
      </c>
    </row>
    <row r="111" spans="28:33" x14ac:dyDescent="0.3">
      <c r="AB111" s="3">
        <v>0.36736111111111103</v>
      </c>
      <c r="AC111" s="3" t="str">
        <f t="shared" si="16"/>
        <v>08:49</v>
      </c>
      <c r="AD111" s="3">
        <f t="shared" si="17"/>
        <v>0.36736111111111108</v>
      </c>
      <c r="AE111" s="1">
        <v>11</v>
      </c>
      <c r="AF111" s="1">
        <v>10</v>
      </c>
      <c r="AG111" s="1">
        <v>9</v>
      </c>
    </row>
    <row r="112" spans="28:33" x14ac:dyDescent="0.3">
      <c r="AB112" s="3">
        <v>0.36805555555555503</v>
      </c>
      <c r="AC112" s="3" t="str">
        <f t="shared" si="16"/>
        <v>08:50</v>
      </c>
      <c r="AD112" s="3">
        <f t="shared" si="17"/>
        <v>0.36805555555555558</v>
      </c>
      <c r="AE112" s="1">
        <v>12</v>
      </c>
      <c r="AF112" s="1">
        <v>10</v>
      </c>
      <c r="AG112" s="1">
        <v>0</v>
      </c>
    </row>
    <row r="113" spans="28:33" x14ac:dyDescent="0.3">
      <c r="AB113" s="3">
        <v>0.36875000000000002</v>
      </c>
      <c r="AC113" s="3" t="str">
        <f t="shared" si="16"/>
        <v>08:51</v>
      </c>
      <c r="AD113" s="3">
        <f t="shared" si="17"/>
        <v>0.36874999999999997</v>
      </c>
      <c r="AE113" s="1">
        <v>12</v>
      </c>
      <c r="AF113" s="1">
        <v>10</v>
      </c>
      <c r="AG113" s="1">
        <v>1</v>
      </c>
    </row>
    <row r="114" spans="28:33" x14ac:dyDescent="0.3">
      <c r="AB114" s="3">
        <v>0.36944444444444402</v>
      </c>
      <c r="AC114" s="3" t="str">
        <f t="shared" si="16"/>
        <v>08:52</v>
      </c>
      <c r="AD114" s="3">
        <f t="shared" si="17"/>
        <v>0.36944444444444446</v>
      </c>
      <c r="AE114" s="1">
        <v>12</v>
      </c>
      <c r="AF114" s="1">
        <v>10</v>
      </c>
      <c r="AG114" s="1">
        <v>2</v>
      </c>
    </row>
    <row r="115" spans="28:33" x14ac:dyDescent="0.3">
      <c r="AB115" s="3">
        <v>0.37013888888888902</v>
      </c>
      <c r="AC115" s="3" t="str">
        <f t="shared" si="16"/>
        <v>08:53</v>
      </c>
      <c r="AD115" s="3">
        <f t="shared" si="17"/>
        <v>0.37013888888888885</v>
      </c>
      <c r="AE115" s="1">
        <v>12</v>
      </c>
      <c r="AF115" s="1">
        <v>10</v>
      </c>
      <c r="AG115" s="1">
        <v>3</v>
      </c>
    </row>
    <row r="116" spans="28:33" x14ac:dyDescent="0.3">
      <c r="AB116" s="3">
        <v>0.37083333333333302</v>
      </c>
      <c r="AC116" s="3" t="str">
        <f t="shared" si="16"/>
        <v>08:54</v>
      </c>
      <c r="AD116" s="3">
        <f t="shared" si="17"/>
        <v>0.37083333333333335</v>
      </c>
      <c r="AE116" s="1">
        <v>12</v>
      </c>
      <c r="AF116" s="1">
        <v>10</v>
      </c>
      <c r="AG116" s="1">
        <v>4</v>
      </c>
    </row>
    <row r="117" spans="28:33" x14ac:dyDescent="0.3">
      <c r="AB117" s="3">
        <v>0.37152777777777701</v>
      </c>
      <c r="AC117" s="3" t="str">
        <f t="shared" si="16"/>
        <v>08:55</v>
      </c>
      <c r="AD117" s="3">
        <f t="shared" si="17"/>
        <v>0.37152777777777773</v>
      </c>
      <c r="AE117" s="1">
        <v>12</v>
      </c>
      <c r="AF117" s="1">
        <v>10</v>
      </c>
      <c r="AG117" s="1">
        <v>5</v>
      </c>
    </row>
    <row r="118" spans="28:33" x14ac:dyDescent="0.3">
      <c r="AB118" s="3">
        <v>0.37222222222222201</v>
      </c>
      <c r="AC118" s="3" t="str">
        <f t="shared" si="16"/>
        <v>08:56</v>
      </c>
      <c r="AD118" s="3">
        <f t="shared" si="17"/>
        <v>0.37222222222222223</v>
      </c>
      <c r="AE118" s="1">
        <v>12</v>
      </c>
      <c r="AF118" s="1">
        <v>10</v>
      </c>
      <c r="AG118" s="1">
        <v>6</v>
      </c>
    </row>
    <row r="119" spans="28:33" x14ac:dyDescent="0.3">
      <c r="AB119" s="3">
        <v>0.37291666666666601</v>
      </c>
      <c r="AC119" s="3" t="str">
        <f t="shared" si="16"/>
        <v>08:57</v>
      </c>
      <c r="AD119" s="3">
        <f t="shared" si="17"/>
        <v>0.37291666666666662</v>
      </c>
      <c r="AE119" s="1">
        <v>12</v>
      </c>
      <c r="AF119" s="1">
        <v>10</v>
      </c>
      <c r="AG119" s="1">
        <v>7</v>
      </c>
    </row>
    <row r="120" spans="28:33" x14ac:dyDescent="0.3">
      <c r="AB120" s="3">
        <v>0.37361111111111101</v>
      </c>
      <c r="AC120" s="3" t="str">
        <f t="shared" si="16"/>
        <v>08:58</v>
      </c>
      <c r="AD120" s="3">
        <f t="shared" si="17"/>
        <v>0.37361111111111112</v>
      </c>
      <c r="AE120" s="1">
        <v>12</v>
      </c>
      <c r="AF120" s="1">
        <v>10</v>
      </c>
      <c r="AG120" s="1">
        <v>8</v>
      </c>
    </row>
    <row r="121" spans="28:33" x14ac:dyDescent="0.3">
      <c r="AB121" s="3">
        <v>0.374305555555555</v>
      </c>
      <c r="AC121" s="3" t="str">
        <f t="shared" si="16"/>
        <v>08:59</v>
      </c>
      <c r="AD121" s="3">
        <f t="shared" si="17"/>
        <v>0.3743055555555555</v>
      </c>
      <c r="AE121" s="1">
        <v>12</v>
      </c>
      <c r="AF121" s="1">
        <v>10</v>
      </c>
      <c r="AG121" s="1">
        <v>9</v>
      </c>
    </row>
    <row r="122" spans="28:33" x14ac:dyDescent="0.3">
      <c r="AB122" s="3">
        <v>0.375</v>
      </c>
      <c r="AC122" s="3" t="str">
        <f t="shared" si="16"/>
        <v>09:00</v>
      </c>
      <c r="AD122" s="3">
        <f t="shared" si="17"/>
        <v>0.375</v>
      </c>
      <c r="AE122" s="1">
        <v>13</v>
      </c>
      <c r="AF122" s="1">
        <v>10</v>
      </c>
      <c r="AG122" s="1">
        <v>0</v>
      </c>
    </row>
    <row r="123" spans="28:33" x14ac:dyDescent="0.3">
      <c r="AB123" s="3">
        <v>0.375694444444444</v>
      </c>
      <c r="AC123" s="3" t="str">
        <f t="shared" si="16"/>
        <v>09:01</v>
      </c>
      <c r="AD123" s="3">
        <f t="shared" si="17"/>
        <v>0.3756944444444445</v>
      </c>
      <c r="AE123" s="1">
        <v>13</v>
      </c>
      <c r="AF123" s="1">
        <v>10</v>
      </c>
      <c r="AG123" s="1">
        <v>1</v>
      </c>
    </row>
    <row r="124" spans="28:33" x14ac:dyDescent="0.3">
      <c r="AB124" s="3">
        <v>0.37638888888888899</v>
      </c>
      <c r="AC124" s="3" t="str">
        <f t="shared" si="16"/>
        <v>09:02</v>
      </c>
      <c r="AD124" s="3">
        <f t="shared" si="17"/>
        <v>0.37638888888888888</v>
      </c>
      <c r="AE124" s="1">
        <v>13</v>
      </c>
      <c r="AF124" s="1">
        <v>10</v>
      </c>
      <c r="AG124" s="1">
        <v>2</v>
      </c>
    </row>
    <row r="125" spans="28:33" x14ac:dyDescent="0.3">
      <c r="AB125" s="3">
        <v>0.37708333333333299</v>
      </c>
      <c r="AC125" s="3" t="str">
        <f t="shared" si="16"/>
        <v>09:03</v>
      </c>
      <c r="AD125" s="3">
        <f t="shared" si="17"/>
        <v>0.37708333333333338</v>
      </c>
      <c r="AE125" s="1">
        <v>13</v>
      </c>
      <c r="AF125" s="1">
        <v>10</v>
      </c>
      <c r="AG125" s="1">
        <v>3</v>
      </c>
    </row>
    <row r="126" spans="28:33" x14ac:dyDescent="0.3">
      <c r="AB126" s="3">
        <v>0.37777777777777699</v>
      </c>
      <c r="AC126" s="3" t="str">
        <f t="shared" si="16"/>
        <v>09:04</v>
      </c>
      <c r="AD126" s="3">
        <f t="shared" si="17"/>
        <v>0.37777777777777777</v>
      </c>
      <c r="AE126" s="1">
        <v>13</v>
      </c>
      <c r="AF126" s="1">
        <v>10</v>
      </c>
      <c r="AG126" s="1">
        <v>4</v>
      </c>
    </row>
    <row r="127" spans="28:33" x14ac:dyDescent="0.3">
      <c r="AB127" s="3">
        <v>0.37847222222222199</v>
      </c>
      <c r="AC127" s="3" t="str">
        <f t="shared" si="16"/>
        <v>09:05</v>
      </c>
      <c r="AD127" s="3">
        <f t="shared" si="17"/>
        <v>0.37847222222222227</v>
      </c>
      <c r="AE127" s="1">
        <v>13</v>
      </c>
      <c r="AF127" s="1">
        <v>10</v>
      </c>
      <c r="AG127" s="1">
        <v>5</v>
      </c>
    </row>
    <row r="128" spans="28:33" x14ac:dyDescent="0.3">
      <c r="AB128" s="3">
        <v>0.37916666666666599</v>
      </c>
      <c r="AC128" s="3" t="str">
        <f t="shared" si="16"/>
        <v>09:06</v>
      </c>
      <c r="AD128" s="3">
        <f t="shared" si="17"/>
        <v>0.37916666666666665</v>
      </c>
      <c r="AE128" s="1">
        <v>13</v>
      </c>
      <c r="AF128" s="1">
        <v>10</v>
      </c>
      <c r="AG128" s="1">
        <v>6</v>
      </c>
    </row>
    <row r="129" spans="28:33" x14ac:dyDescent="0.3">
      <c r="AB129" s="3">
        <v>0.37986111111111098</v>
      </c>
      <c r="AC129" s="3" t="str">
        <f t="shared" si="16"/>
        <v>09:07</v>
      </c>
      <c r="AD129" s="3">
        <f t="shared" si="17"/>
        <v>0.37986111111111115</v>
      </c>
      <c r="AE129" s="1">
        <v>13</v>
      </c>
      <c r="AF129" s="1">
        <v>10</v>
      </c>
      <c r="AG129" s="1">
        <v>7</v>
      </c>
    </row>
    <row r="130" spans="28:33" x14ac:dyDescent="0.3">
      <c r="AB130" s="3">
        <v>0.38055555555555498</v>
      </c>
      <c r="AC130" s="3" t="str">
        <f t="shared" si="16"/>
        <v>09:08</v>
      </c>
      <c r="AD130" s="3">
        <f t="shared" si="17"/>
        <v>0.38055555555555554</v>
      </c>
      <c r="AE130" s="1">
        <v>13</v>
      </c>
      <c r="AF130" s="1">
        <v>10</v>
      </c>
      <c r="AG130" s="1">
        <v>8</v>
      </c>
    </row>
    <row r="131" spans="28:33" x14ac:dyDescent="0.3">
      <c r="AB131" s="3">
        <v>0.38124999999999998</v>
      </c>
      <c r="AC131" s="3" t="str">
        <f t="shared" ref="AC131:AC194" si="18">TEXT(AB131,"hh:mm")</f>
        <v>09:09</v>
      </c>
      <c r="AD131" s="3">
        <f t="shared" ref="AD131:AD194" si="19">VALUE(AC131)</f>
        <v>0.38125000000000003</v>
      </c>
      <c r="AE131" s="1">
        <v>13</v>
      </c>
      <c r="AF131" s="1">
        <v>10</v>
      </c>
      <c r="AG131" s="1">
        <v>9</v>
      </c>
    </row>
    <row r="132" spans="28:33" x14ac:dyDescent="0.3">
      <c r="AB132" s="3">
        <v>0.38194444444444398</v>
      </c>
      <c r="AC132" s="3" t="str">
        <f t="shared" si="18"/>
        <v>09:10</v>
      </c>
      <c r="AD132" s="3">
        <f t="shared" si="19"/>
        <v>0.38194444444444442</v>
      </c>
      <c r="AE132" s="1">
        <v>14</v>
      </c>
      <c r="AF132" s="1">
        <v>10</v>
      </c>
      <c r="AG132" s="1">
        <v>0</v>
      </c>
    </row>
    <row r="133" spans="28:33" x14ac:dyDescent="0.3">
      <c r="AB133" s="3">
        <v>0.38263888888888897</v>
      </c>
      <c r="AC133" s="3" t="str">
        <f t="shared" si="18"/>
        <v>09:11</v>
      </c>
      <c r="AD133" s="3">
        <f t="shared" si="19"/>
        <v>0.38263888888888892</v>
      </c>
      <c r="AE133" s="1">
        <v>14</v>
      </c>
      <c r="AF133" s="1">
        <v>10</v>
      </c>
      <c r="AG133" s="1">
        <v>1</v>
      </c>
    </row>
    <row r="134" spans="28:33" x14ac:dyDescent="0.3">
      <c r="AB134" s="3">
        <v>0.38333333333333303</v>
      </c>
      <c r="AC134" s="3" t="str">
        <f t="shared" si="18"/>
        <v>09:12</v>
      </c>
      <c r="AD134" s="3">
        <f t="shared" si="19"/>
        <v>0.3833333333333333</v>
      </c>
      <c r="AE134" s="1">
        <v>14</v>
      </c>
      <c r="AF134" s="1">
        <v>10</v>
      </c>
      <c r="AG134" s="1">
        <v>2</v>
      </c>
    </row>
    <row r="135" spans="28:33" x14ac:dyDescent="0.3">
      <c r="AB135" s="3">
        <v>0.38402777777777702</v>
      </c>
      <c r="AC135" s="3" t="str">
        <f t="shared" si="18"/>
        <v>09:13</v>
      </c>
      <c r="AD135" s="3">
        <f t="shared" si="19"/>
        <v>0.3840277777777778</v>
      </c>
      <c r="AE135" s="1">
        <v>14</v>
      </c>
      <c r="AF135" s="1">
        <v>10</v>
      </c>
      <c r="AG135" s="1">
        <v>3</v>
      </c>
    </row>
    <row r="136" spans="28:33" x14ac:dyDescent="0.3">
      <c r="AB136" s="3">
        <v>0.38472222222222202</v>
      </c>
      <c r="AC136" s="3" t="str">
        <f t="shared" si="18"/>
        <v>09:14</v>
      </c>
      <c r="AD136" s="3">
        <f t="shared" si="19"/>
        <v>0.38472222222222219</v>
      </c>
      <c r="AE136" s="1">
        <v>14</v>
      </c>
      <c r="AF136" s="1">
        <v>10</v>
      </c>
      <c r="AG136" s="1">
        <v>4</v>
      </c>
    </row>
    <row r="137" spans="28:33" x14ac:dyDescent="0.3">
      <c r="AB137" s="3">
        <v>0.38541666666666602</v>
      </c>
      <c r="AC137" s="3" t="str">
        <f t="shared" si="18"/>
        <v>09:15</v>
      </c>
      <c r="AD137" s="3">
        <f t="shared" si="19"/>
        <v>0.38541666666666669</v>
      </c>
      <c r="AE137" s="1">
        <v>14</v>
      </c>
      <c r="AF137" s="1">
        <v>10</v>
      </c>
      <c r="AG137" s="1">
        <v>5</v>
      </c>
    </row>
    <row r="138" spans="28:33" x14ac:dyDescent="0.3">
      <c r="AB138" s="3">
        <v>0.38611111111111102</v>
      </c>
      <c r="AC138" s="3" t="str">
        <f t="shared" si="18"/>
        <v>09:16</v>
      </c>
      <c r="AD138" s="3">
        <f t="shared" si="19"/>
        <v>0.38611111111111113</v>
      </c>
      <c r="AE138" s="1">
        <v>14</v>
      </c>
      <c r="AF138" s="1">
        <v>10</v>
      </c>
      <c r="AG138" s="1">
        <v>6</v>
      </c>
    </row>
    <row r="139" spans="28:33" x14ac:dyDescent="0.3">
      <c r="AB139" s="3">
        <v>0.38680555555555501</v>
      </c>
      <c r="AC139" s="3" t="str">
        <f t="shared" si="18"/>
        <v>09:17</v>
      </c>
      <c r="AD139" s="3">
        <f t="shared" si="19"/>
        <v>0.38680555555555557</v>
      </c>
      <c r="AE139" s="1">
        <v>14</v>
      </c>
      <c r="AF139" s="1">
        <v>10</v>
      </c>
      <c r="AG139" s="1">
        <v>7</v>
      </c>
    </row>
    <row r="140" spans="28:33" x14ac:dyDescent="0.3">
      <c r="AB140" s="3">
        <v>0.38750000000000001</v>
      </c>
      <c r="AC140" s="3" t="str">
        <f t="shared" si="18"/>
        <v>09:18</v>
      </c>
      <c r="AD140" s="3">
        <f t="shared" si="19"/>
        <v>0.38750000000000001</v>
      </c>
      <c r="AE140" s="1">
        <v>14</v>
      </c>
      <c r="AF140" s="1">
        <v>10</v>
      </c>
      <c r="AG140" s="1">
        <v>8</v>
      </c>
    </row>
    <row r="141" spans="28:33" x14ac:dyDescent="0.3">
      <c r="AB141" s="3">
        <v>0.38819444444444401</v>
      </c>
      <c r="AC141" s="3" t="str">
        <f t="shared" si="18"/>
        <v>09:19</v>
      </c>
      <c r="AD141" s="3">
        <f t="shared" si="19"/>
        <v>0.38819444444444445</v>
      </c>
      <c r="AE141" s="1">
        <v>14</v>
      </c>
      <c r="AF141" s="1">
        <v>10</v>
      </c>
      <c r="AG141" s="1">
        <v>9</v>
      </c>
    </row>
    <row r="142" spans="28:33" x14ac:dyDescent="0.3">
      <c r="AB142" s="3">
        <v>0.38888888888888901</v>
      </c>
      <c r="AC142" s="3" t="str">
        <f t="shared" si="18"/>
        <v>09:20</v>
      </c>
      <c r="AD142" s="3">
        <f t="shared" si="19"/>
        <v>0.3888888888888889</v>
      </c>
      <c r="AE142" s="1">
        <v>15</v>
      </c>
      <c r="AF142" s="1">
        <v>10</v>
      </c>
      <c r="AG142" s="1">
        <v>0</v>
      </c>
    </row>
    <row r="143" spans="28:33" x14ac:dyDescent="0.3">
      <c r="AB143" s="3">
        <v>0.389583333333333</v>
      </c>
      <c r="AC143" s="3" t="str">
        <f t="shared" si="18"/>
        <v>09:21</v>
      </c>
      <c r="AD143" s="3">
        <f t="shared" si="19"/>
        <v>0.38958333333333334</v>
      </c>
      <c r="AE143" s="1">
        <v>15</v>
      </c>
      <c r="AF143" s="1">
        <v>10</v>
      </c>
      <c r="AG143" s="1">
        <v>1</v>
      </c>
    </row>
    <row r="144" spans="28:33" x14ac:dyDescent="0.3">
      <c r="AB144" s="3">
        <v>0.390277777777778</v>
      </c>
      <c r="AC144" s="3" t="str">
        <f t="shared" si="18"/>
        <v>09:22</v>
      </c>
      <c r="AD144" s="3">
        <f t="shared" si="19"/>
        <v>0.39027777777777778</v>
      </c>
      <c r="AE144" s="1">
        <v>15</v>
      </c>
      <c r="AF144" s="1">
        <v>10</v>
      </c>
      <c r="AG144" s="1">
        <v>2</v>
      </c>
    </row>
    <row r="145" spans="28:33" x14ac:dyDescent="0.3">
      <c r="AB145" s="3">
        <v>0.390972222222222</v>
      </c>
      <c r="AC145" s="3" t="str">
        <f t="shared" si="18"/>
        <v>09:23</v>
      </c>
      <c r="AD145" s="3">
        <f t="shared" si="19"/>
        <v>0.39097222222222222</v>
      </c>
      <c r="AE145" s="1">
        <v>15</v>
      </c>
      <c r="AF145" s="1">
        <v>10</v>
      </c>
      <c r="AG145" s="1">
        <v>3</v>
      </c>
    </row>
    <row r="146" spans="28:33" x14ac:dyDescent="0.3">
      <c r="AB146" s="3">
        <v>0.391666666666666</v>
      </c>
      <c r="AC146" s="3" t="str">
        <f t="shared" si="18"/>
        <v>09:24</v>
      </c>
      <c r="AD146" s="3">
        <f t="shared" si="19"/>
        <v>0.39166666666666666</v>
      </c>
      <c r="AE146" s="1">
        <v>15</v>
      </c>
      <c r="AF146" s="1">
        <v>10</v>
      </c>
      <c r="AG146" s="1">
        <v>4</v>
      </c>
    </row>
    <row r="147" spans="28:33" x14ac:dyDescent="0.3">
      <c r="AB147" s="3">
        <v>0.39236111111111099</v>
      </c>
      <c r="AC147" s="3" t="str">
        <f t="shared" si="18"/>
        <v>09:25</v>
      </c>
      <c r="AD147" s="3">
        <f t="shared" si="19"/>
        <v>0.3923611111111111</v>
      </c>
      <c r="AE147" s="1">
        <v>15</v>
      </c>
      <c r="AF147" s="1">
        <v>10</v>
      </c>
      <c r="AG147" s="1">
        <v>5</v>
      </c>
    </row>
    <row r="148" spans="28:33" x14ac:dyDescent="0.3">
      <c r="AB148" s="3">
        <v>0.39305555555555599</v>
      </c>
      <c r="AC148" s="3" t="str">
        <f t="shared" si="18"/>
        <v>09:26</v>
      </c>
      <c r="AD148" s="3">
        <f t="shared" si="19"/>
        <v>0.39305555555555555</v>
      </c>
      <c r="AE148" s="1">
        <v>15</v>
      </c>
      <c r="AF148" s="1">
        <v>10</v>
      </c>
      <c r="AG148" s="1">
        <v>6</v>
      </c>
    </row>
    <row r="149" spans="28:33" x14ac:dyDescent="0.3">
      <c r="AB149" s="3">
        <v>0.39374999999999999</v>
      </c>
      <c r="AC149" s="3" t="str">
        <f t="shared" si="18"/>
        <v>09:27</v>
      </c>
      <c r="AD149" s="3">
        <f t="shared" si="19"/>
        <v>0.39374999999999999</v>
      </c>
      <c r="AE149" s="1">
        <v>15</v>
      </c>
      <c r="AF149" s="1">
        <v>10</v>
      </c>
      <c r="AG149" s="1">
        <v>7</v>
      </c>
    </row>
    <row r="150" spans="28:33" x14ac:dyDescent="0.3">
      <c r="AB150" s="3">
        <v>0.39444444444444399</v>
      </c>
      <c r="AC150" s="3" t="str">
        <f t="shared" si="18"/>
        <v>09:28</v>
      </c>
      <c r="AD150" s="3">
        <f t="shared" si="19"/>
        <v>0.39444444444444443</v>
      </c>
      <c r="AE150" s="1">
        <v>15</v>
      </c>
      <c r="AF150" s="1">
        <v>10</v>
      </c>
      <c r="AG150" s="1">
        <v>8</v>
      </c>
    </row>
    <row r="151" spans="28:33" x14ac:dyDescent="0.3">
      <c r="AB151" s="3">
        <v>0.39513888888888898</v>
      </c>
      <c r="AC151" s="3" t="str">
        <f t="shared" si="18"/>
        <v>09:29</v>
      </c>
      <c r="AD151" s="3">
        <f t="shared" si="19"/>
        <v>0.39513888888888887</v>
      </c>
      <c r="AE151" s="1">
        <v>15</v>
      </c>
      <c r="AF151" s="1">
        <v>10</v>
      </c>
      <c r="AG151" s="1">
        <v>9</v>
      </c>
    </row>
    <row r="152" spans="28:33" x14ac:dyDescent="0.3">
      <c r="AB152" s="3">
        <v>0.39583333333333298</v>
      </c>
      <c r="AC152" s="3" t="str">
        <f t="shared" si="18"/>
        <v>09:30</v>
      </c>
      <c r="AD152" s="3">
        <f t="shared" si="19"/>
        <v>0.39583333333333331</v>
      </c>
      <c r="AE152" s="1">
        <v>16</v>
      </c>
      <c r="AF152" s="1">
        <v>10</v>
      </c>
      <c r="AG152" s="1">
        <v>0</v>
      </c>
    </row>
    <row r="153" spans="28:33" x14ac:dyDescent="0.3">
      <c r="AB153" s="3">
        <v>0.39652777777777798</v>
      </c>
      <c r="AC153" s="3" t="str">
        <f t="shared" si="18"/>
        <v>09:31</v>
      </c>
      <c r="AD153" s="3">
        <f t="shared" si="19"/>
        <v>0.39652777777777781</v>
      </c>
      <c r="AE153" s="1">
        <v>16</v>
      </c>
      <c r="AF153" s="1">
        <v>10</v>
      </c>
      <c r="AG153" s="1">
        <v>1</v>
      </c>
    </row>
    <row r="154" spans="28:33" x14ac:dyDescent="0.3">
      <c r="AB154" s="3">
        <v>0.39722222222222198</v>
      </c>
      <c r="AC154" s="3" t="str">
        <f t="shared" si="18"/>
        <v>09:32</v>
      </c>
      <c r="AD154" s="3">
        <f t="shared" si="19"/>
        <v>0.3972222222222222</v>
      </c>
      <c r="AE154" s="1">
        <v>16</v>
      </c>
      <c r="AF154" s="1">
        <v>10</v>
      </c>
      <c r="AG154" s="1">
        <v>2</v>
      </c>
    </row>
    <row r="155" spans="28:33" x14ac:dyDescent="0.3">
      <c r="AB155" s="3">
        <v>0.39791666666666697</v>
      </c>
      <c r="AC155" s="3" t="str">
        <f t="shared" si="18"/>
        <v>09:33</v>
      </c>
      <c r="AD155" s="3">
        <f t="shared" si="19"/>
        <v>0.3979166666666667</v>
      </c>
      <c r="AE155" s="1">
        <v>16</v>
      </c>
      <c r="AF155" s="1">
        <v>10</v>
      </c>
      <c r="AG155" s="1">
        <v>3</v>
      </c>
    </row>
    <row r="156" spans="28:33" x14ac:dyDescent="0.3">
      <c r="AB156" s="3">
        <v>0.39861111111111103</v>
      </c>
      <c r="AC156" s="3" t="str">
        <f t="shared" si="18"/>
        <v>09:34</v>
      </c>
      <c r="AD156" s="3">
        <f t="shared" si="19"/>
        <v>0.39861111111111108</v>
      </c>
      <c r="AE156" s="1">
        <v>16</v>
      </c>
      <c r="AF156" s="1">
        <v>10</v>
      </c>
      <c r="AG156" s="1">
        <v>4</v>
      </c>
    </row>
    <row r="157" spans="28:33" x14ac:dyDescent="0.3">
      <c r="AB157" s="3">
        <v>0.39930555555555602</v>
      </c>
      <c r="AC157" s="3" t="str">
        <f t="shared" si="18"/>
        <v>09:35</v>
      </c>
      <c r="AD157" s="3">
        <f t="shared" si="19"/>
        <v>0.39930555555555558</v>
      </c>
      <c r="AE157" s="1">
        <v>16</v>
      </c>
      <c r="AF157" s="1">
        <v>10</v>
      </c>
      <c r="AG157" s="1">
        <v>5</v>
      </c>
    </row>
    <row r="158" spans="28:33" x14ac:dyDescent="0.3">
      <c r="AB158" s="3">
        <v>0.4</v>
      </c>
      <c r="AC158" s="3" t="str">
        <f t="shared" si="18"/>
        <v>09:36</v>
      </c>
      <c r="AD158" s="3">
        <f t="shared" si="19"/>
        <v>0.39999999999999997</v>
      </c>
      <c r="AE158" s="1">
        <v>16</v>
      </c>
      <c r="AF158" s="1">
        <v>10</v>
      </c>
      <c r="AG158" s="1">
        <v>6</v>
      </c>
    </row>
    <row r="159" spans="28:33" x14ac:dyDescent="0.3">
      <c r="AB159" s="3">
        <v>0.40069444444444402</v>
      </c>
      <c r="AC159" s="3" t="str">
        <f t="shared" si="18"/>
        <v>09:37</v>
      </c>
      <c r="AD159" s="3">
        <f t="shared" si="19"/>
        <v>0.40069444444444446</v>
      </c>
      <c r="AE159" s="1">
        <v>16</v>
      </c>
      <c r="AF159" s="1">
        <v>10</v>
      </c>
      <c r="AG159" s="1">
        <v>7</v>
      </c>
    </row>
    <row r="160" spans="28:33" x14ac:dyDescent="0.3">
      <c r="AB160" s="3">
        <v>0.40138888888888902</v>
      </c>
      <c r="AC160" s="3" t="str">
        <f t="shared" si="18"/>
        <v>09:38</v>
      </c>
      <c r="AD160" s="3">
        <f t="shared" si="19"/>
        <v>0.40138888888888885</v>
      </c>
      <c r="AE160" s="1">
        <v>16</v>
      </c>
      <c r="AF160" s="1">
        <v>10</v>
      </c>
      <c r="AG160" s="1">
        <v>8</v>
      </c>
    </row>
    <row r="161" spans="28:33" x14ac:dyDescent="0.3">
      <c r="AB161" s="3">
        <v>0.40208333333333302</v>
      </c>
      <c r="AC161" s="3" t="str">
        <f t="shared" si="18"/>
        <v>09:39</v>
      </c>
      <c r="AD161" s="3">
        <f t="shared" si="19"/>
        <v>0.40208333333333335</v>
      </c>
      <c r="AE161" s="1">
        <v>16</v>
      </c>
      <c r="AF161" s="1">
        <v>10</v>
      </c>
      <c r="AG161" s="1">
        <v>9</v>
      </c>
    </row>
    <row r="162" spans="28:33" x14ac:dyDescent="0.3">
      <c r="AB162" s="3">
        <v>0.40277777777777801</v>
      </c>
      <c r="AC162" s="3" t="str">
        <f t="shared" si="18"/>
        <v>09:40</v>
      </c>
      <c r="AD162" s="3">
        <f t="shared" si="19"/>
        <v>0.40277777777777773</v>
      </c>
      <c r="AE162" s="1">
        <v>17</v>
      </c>
      <c r="AF162" s="1">
        <v>10</v>
      </c>
      <c r="AG162" s="1">
        <v>0</v>
      </c>
    </row>
    <row r="163" spans="28:33" x14ac:dyDescent="0.3">
      <c r="AB163" s="3">
        <v>0.40347222222222201</v>
      </c>
      <c r="AC163" s="3" t="str">
        <f t="shared" si="18"/>
        <v>09:41</v>
      </c>
      <c r="AD163" s="3">
        <f t="shared" si="19"/>
        <v>0.40347222222222223</v>
      </c>
      <c r="AE163" s="1">
        <v>17</v>
      </c>
      <c r="AF163" s="1">
        <v>10</v>
      </c>
      <c r="AG163" s="1">
        <v>1</v>
      </c>
    </row>
    <row r="164" spans="28:33" x14ac:dyDescent="0.3">
      <c r="AB164" s="3">
        <v>0.40416666666666701</v>
      </c>
      <c r="AC164" s="3" t="str">
        <f t="shared" si="18"/>
        <v>09:42</v>
      </c>
      <c r="AD164" s="3">
        <f t="shared" si="19"/>
        <v>0.40416666666666662</v>
      </c>
      <c r="AE164" s="1">
        <v>17</v>
      </c>
      <c r="AF164" s="1">
        <v>10</v>
      </c>
      <c r="AG164" s="1">
        <v>2</v>
      </c>
    </row>
    <row r="165" spans="28:33" x14ac:dyDescent="0.3">
      <c r="AB165" s="3">
        <v>0.40486111111111101</v>
      </c>
      <c r="AC165" s="3" t="str">
        <f t="shared" si="18"/>
        <v>09:43</v>
      </c>
      <c r="AD165" s="3">
        <f t="shared" si="19"/>
        <v>0.40486111111111112</v>
      </c>
      <c r="AE165" s="1">
        <v>17</v>
      </c>
      <c r="AF165" s="1">
        <v>10</v>
      </c>
      <c r="AG165" s="1">
        <v>3</v>
      </c>
    </row>
    <row r="166" spans="28:33" x14ac:dyDescent="0.3">
      <c r="AB166" s="3">
        <v>0.405555555555555</v>
      </c>
      <c r="AC166" s="3" t="str">
        <f t="shared" si="18"/>
        <v>09:44</v>
      </c>
      <c r="AD166" s="3">
        <f t="shared" si="19"/>
        <v>0.4055555555555555</v>
      </c>
      <c r="AE166" s="1">
        <v>17</v>
      </c>
      <c r="AF166" s="1">
        <v>10</v>
      </c>
      <c r="AG166" s="1">
        <v>4</v>
      </c>
    </row>
    <row r="167" spans="28:33" x14ac:dyDescent="0.3">
      <c r="AB167" s="3">
        <v>0.40625</v>
      </c>
      <c r="AC167" s="3" t="str">
        <f t="shared" si="18"/>
        <v>09:45</v>
      </c>
      <c r="AD167" s="3">
        <f t="shared" si="19"/>
        <v>0.40625</v>
      </c>
      <c r="AE167" s="1">
        <v>17</v>
      </c>
      <c r="AF167" s="1">
        <v>10</v>
      </c>
      <c r="AG167" s="1">
        <v>5</v>
      </c>
    </row>
    <row r="168" spans="28:33" x14ac:dyDescent="0.3">
      <c r="AB168" s="3">
        <v>0.406944444444444</v>
      </c>
      <c r="AC168" s="3" t="str">
        <f t="shared" si="18"/>
        <v>09:46</v>
      </c>
      <c r="AD168" s="3">
        <f t="shared" si="19"/>
        <v>0.4069444444444445</v>
      </c>
      <c r="AE168" s="1">
        <v>17</v>
      </c>
      <c r="AF168" s="1">
        <v>10</v>
      </c>
      <c r="AG168" s="1">
        <v>6</v>
      </c>
    </row>
    <row r="169" spans="28:33" x14ac:dyDescent="0.3">
      <c r="AB169" s="3">
        <v>0.40763888888888899</v>
      </c>
      <c r="AC169" s="3" t="str">
        <f t="shared" si="18"/>
        <v>09:47</v>
      </c>
      <c r="AD169" s="3">
        <f t="shared" si="19"/>
        <v>0.40763888888888888</v>
      </c>
      <c r="AE169" s="1">
        <v>17</v>
      </c>
      <c r="AF169" s="1">
        <v>10</v>
      </c>
      <c r="AG169" s="1">
        <v>7</v>
      </c>
    </row>
    <row r="170" spans="28:33" x14ac:dyDescent="0.3">
      <c r="AB170" s="3">
        <v>0.40833333333333299</v>
      </c>
      <c r="AC170" s="3" t="str">
        <f t="shared" si="18"/>
        <v>09:48</v>
      </c>
      <c r="AD170" s="3">
        <f t="shared" si="19"/>
        <v>0.40833333333333338</v>
      </c>
      <c r="AE170" s="1">
        <v>17</v>
      </c>
      <c r="AF170" s="1">
        <v>10</v>
      </c>
      <c r="AG170" s="1">
        <v>8</v>
      </c>
    </row>
    <row r="171" spans="28:33" x14ac:dyDescent="0.3">
      <c r="AB171" s="3">
        <v>0.40902777777777799</v>
      </c>
      <c r="AC171" s="3" t="str">
        <f t="shared" si="18"/>
        <v>09:49</v>
      </c>
      <c r="AD171" s="3">
        <f t="shared" si="19"/>
        <v>0.40902777777777777</v>
      </c>
      <c r="AE171" s="1">
        <v>17</v>
      </c>
      <c r="AF171" s="1">
        <v>10</v>
      </c>
      <c r="AG171" s="1">
        <v>9</v>
      </c>
    </row>
    <row r="172" spans="28:33" x14ac:dyDescent="0.3">
      <c r="AB172" s="3">
        <v>0.40972222222222199</v>
      </c>
      <c r="AC172" s="3" t="str">
        <f t="shared" si="18"/>
        <v>09:50</v>
      </c>
      <c r="AD172" s="3">
        <f t="shared" si="19"/>
        <v>0.40972222222222227</v>
      </c>
      <c r="AE172" s="1">
        <v>18</v>
      </c>
      <c r="AF172" s="1">
        <v>10</v>
      </c>
      <c r="AG172" s="1">
        <v>0</v>
      </c>
    </row>
    <row r="173" spans="28:33" x14ac:dyDescent="0.3">
      <c r="AB173" s="3">
        <v>0.41041666666666698</v>
      </c>
      <c r="AC173" s="3" t="str">
        <f t="shared" si="18"/>
        <v>09:51</v>
      </c>
      <c r="AD173" s="3">
        <f t="shared" si="19"/>
        <v>0.41041666666666665</v>
      </c>
      <c r="AE173" s="1">
        <v>18</v>
      </c>
      <c r="AF173" s="1">
        <v>10</v>
      </c>
      <c r="AG173" s="1">
        <v>1</v>
      </c>
    </row>
    <row r="174" spans="28:33" x14ac:dyDescent="0.3">
      <c r="AB174" s="3">
        <v>0.41111111111111098</v>
      </c>
      <c r="AC174" s="3" t="str">
        <f t="shared" si="18"/>
        <v>09:52</v>
      </c>
      <c r="AD174" s="3">
        <f t="shared" si="19"/>
        <v>0.41111111111111115</v>
      </c>
      <c r="AE174" s="1">
        <v>18</v>
      </c>
      <c r="AF174" s="1">
        <v>10</v>
      </c>
      <c r="AG174" s="1">
        <v>2</v>
      </c>
    </row>
    <row r="175" spans="28:33" x14ac:dyDescent="0.3">
      <c r="AB175" s="3">
        <v>0.41180555555555498</v>
      </c>
      <c r="AC175" s="3" t="str">
        <f t="shared" si="18"/>
        <v>09:53</v>
      </c>
      <c r="AD175" s="3">
        <f t="shared" si="19"/>
        <v>0.41180555555555554</v>
      </c>
      <c r="AE175" s="1">
        <v>18</v>
      </c>
      <c r="AF175" s="1">
        <v>10</v>
      </c>
      <c r="AG175" s="1">
        <v>3</v>
      </c>
    </row>
    <row r="176" spans="28:33" x14ac:dyDescent="0.3">
      <c r="AB176" s="3">
        <v>0.41249999999999998</v>
      </c>
      <c r="AC176" s="3" t="str">
        <f t="shared" si="18"/>
        <v>09:54</v>
      </c>
      <c r="AD176" s="3">
        <f t="shared" si="19"/>
        <v>0.41250000000000003</v>
      </c>
      <c r="AE176" s="1">
        <v>18</v>
      </c>
      <c r="AF176" s="1">
        <v>10</v>
      </c>
      <c r="AG176" s="1">
        <v>4</v>
      </c>
    </row>
    <row r="177" spans="28:33" x14ac:dyDescent="0.3">
      <c r="AB177" s="3">
        <v>0.41319444444444398</v>
      </c>
      <c r="AC177" s="3" t="str">
        <f t="shared" si="18"/>
        <v>09:55</v>
      </c>
      <c r="AD177" s="3">
        <f t="shared" si="19"/>
        <v>0.41319444444444442</v>
      </c>
      <c r="AE177" s="1">
        <v>18</v>
      </c>
      <c r="AF177" s="1">
        <v>10</v>
      </c>
      <c r="AG177" s="1">
        <v>5</v>
      </c>
    </row>
    <row r="178" spans="28:33" x14ac:dyDescent="0.3">
      <c r="AB178" s="3">
        <v>0.41388888888888897</v>
      </c>
      <c r="AC178" s="3" t="str">
        <f t="shared" si="18"/>
        <v>09:56</v>
      </c>
      <c r="AD178" s="3">
        <f t="shared" si="19"/>
        <v>0.41388888888888892</v>
      </c>
      <c r="AE178" s="1">
        <v>18</v>
      </c>
      <c r="AF178" s="1">
        <v>10</v>
      </c>
      <c r="AG178" s="1">
        <v>6</v>
      </c>
    </row>
    <row r="179" spans="28:33" x14ac:dyDescent="0.3">
      <c r="AB179" s="3">
        <v>0.41458333333333303</v>
      </c>
      <c r="AC179" s="3" t="str">
        <f t="shared" si="18"/>
        <v>09:57</v>
      </c>
      <c r="AD179" s="3">
        <f t="shared" si="19"/>
        <v>0.4145833333333333</v>
      </c>
      <c r="AE179" s="1">
        <v>18</v>
      </c>
      <c r="AF179" s="1">
        <v>10</v>
      </c>
      <c r="AG179" s="1">
        <v>7</v>
      </c>
    </row>
    <row r="180" spans="28:33" x14ac:dyDescent="0.3">
      <c r="AB180" s="3">
        <v>0.41527777777777802</v>
      </c>
      <c r="AC180" s="3" t="str">
        <f t="shared" si="18"/>
        <v>09:58</v>
      </c>
      <c r="AD180" s="3">
        <f t="shared" si="19"/>
        <v>0.4152777777777778</v>
      </c>
      <c r="AE180" s="1">
        <v>18</v>
      </c>
      <c r="AF180" s="1">
        <v>10</v>
      </c>
      <c r="AG180" s="1">
        <v>8</v>
      </c>
    </row>
    <row r="181" spans="28:33" x14ac:dyDescent="0.3">
      <c r="AB181" s="3">
        <v>0.41597222222222202</v>
      </c>
      <c r="AC181" s="3" t="str">
        <f t="shared" si="18"/>
        <v>09:59</v>
      </c>
      <c r="AD181" s="3">
        <f t="shared" si="19"/>
        <v>0.41597222222222219</v>
      </c>
      <c r="AE181" s="1">
        <v>18</v>
      </c>
      <c r="AF181" s="1">
        <v>10</v>
      </c>
      <c r="AG181" s="1">
        <v>9</v>
      </c>
    </row>
    <row r="182" spans="28:33" x14ac:dyDescent="0.3">
      <c r="AB182" s="3">
        <v>0.41666666666666702</v>
      </c>
      <c r="AC182" s="3" t="str">
        <f t="shared" si="18"/>
        <v>10:00</v>
      </c>
      <c r="AD182" s="3">
        <f t="shared" si="19"/>
        <v>0.41666666666666669</v>
      </c>
      <c r="AE182" s="1">
        <v>19</v>
      </c>
      <c r="AF182" s="1">
        <v>10</v>
      </c>
      <c r="AG182" s="1">
        <v>0</v>
      </c>
    </row>
    <row r="183" spans="28:33" x14ac:dyDescent="0.3">
      <c r="AB183" s="3">
        <v>0.41736111111111102</v>
      </c>
      <c r="AC183" s="3" t="str">
        <f t="shared" si="18"/>
        <v>10:01</v>
      </c>
      <c r="AD183" s="3">
        <f t="shared" si="19"/>
        <v>0.41736111111111113</v>
      </c>
      <c r="AE183" s="1">
        <v>19</v>
      </c>
      <c r="AF183" s="1">
        <v>10</v>
      </c>
      <c r="AG183" s="1">
        <v>1</v>
      </c>
    </row>
    <row r="184" spans="28:33" x14ac:dyDescent="0.3">
      <c r="AB184" s="3">
        <v>0.41805555555555501</v>
      </c>
      <c r="AC184" s="3" t="str">
        <f t="shared" si="18"/>
        <v>10:02</v>
      </c>
      <c r="AD184" s="3">
        <f t="shared" si="19"/>
        <v>0.41805555555555557</v>
      </c>
      <c r="AE184" s="1">
        <v>19</v>
      </c>
      <c r="AF184" s="1">
        <v>10</v>
      </c>
      <c r="AG184" s="1">
        <v>2</v>
      </c>
    </row>
    <row r="185" spans="28:33" x14ac:dyDescent="0.3">
      <c r="AB185" s="3">
        <v>0.41875000000000001</v>
      </c>
      <c r="AC185" s="3" t="str">
        <f t="shared" si="18"/>
        <v>10:03</v>
      </c>
      <c r="AD185" s="3">
        <f t="shared" si="19"/>
        <v>0.41875000000000001</v>
      </c>
      <c r="AE185" s="1">
        <v>19</v>
      </c>
      <c r="AF185" s="1">
        <v>10</v>
      </c>
      <c r="AG185" s="1">
        <v>3</v>
      </c>
    </row>
    <row r="186" spans="28:33" x14ac:dyDescent="0.3">
      <c r="AB186" s="3">
        <v>0.41944444444444401</v>
      </c>
      <c r="AC186" s="3" t="str">
        <f t="shared" si="18"/>
        <v>10:04</v>
      </c>
      <c r="AD186" s="3">
        <f t="shared" si="19"/>
        <v>0.41944444444444445</v>
      </c>
      <c r="AE186" s="1">
        <v>19</v>
      </c>
      <c r="AF186" s="1">
        <v>10</v>
      </c>
      <c r="AG186" s="1">
        <v>4</v>
      </c>
    </row>
    <row r="187" spans="28:33" x14ac:dyDescent="0.3">
      <c r="AB187" s="3">
        <v>0.42013888888888901</v>
      </c>
      <c r="AC187" s="3" t="str">
        <f t="shared" si="18"/>
        <v>10:05</v>
      </c>
      <c r="AD187" s="3">
        <f t="shared" si="19"/>
        <v>0.4201388888888889</v>
      </c>
      <c r="AE187" s="1">
        <v>19</v>
      </c>
      <c r="AF187" s="1">
        <v>10</v>
      </c>
      <c r="AG187" s="1">
        <v>5</v>
      </c>
    </row>
    <row r="188" spans="28:33" x14ac:dyDescent="0.3">
      <c r="AB188" s="3">
        <v>0.420833333333333</v>
      </c>
      <c r="AC188" s="3" t="str">
        <f t="shared" si="18"/>
        <v>10:06</v>
      </c>
      <c r="AD188" s="3">
        <f t="shared" si="19"/>
        <v>0.42083333333333334</v>
      </c>
      <c r="AE188" s="1">
        <v>19</v>
      </c>
      <c r="AF188" s="1">
        <v>10</v>
      </c>
      <c r="AG188" s="1">
        <v>6</v>
      </c>
    </row>
    <row r="189" spans="28:33" x14ac:dyDescent="0.3">
      <c r="AB189" s="3">
        <v>0.421527777777778</v>
      </c>
      <c r="AC189" s="3" t="str">
        <f t="shared" si="18"/>
        <v>10:07</v>
      </c>
      <c r="AD189" s="3">
        <f t="shared" si="19"/>
        <v>0.42152777777777778</v>
      </c>
      <c r="AE189" s="1">
        <v>19</v>
      </c>
      <c r="AF189" s="1">
        <v>10</v>
      </c>
      <c r="AG189" s="1">
        <v>7</v>
      </c>
    </row>
    <row r="190" spans="28:33" x14ac:dyDescent="0.3">
      <c r="AB190" s="3">
        <v>0.422222222222222</v>
      </c>
      <c r="AC190" s="3" t="str">
        <f t="shared" si="18"/>
        <v>10:08</v>
      </c>
      <c r="AD190" s="3">
        <f t="shared" si="19"/>
        <v>0.42222222222222222</v>
      </c>
      <c r="AE190" s="1">
        <v>19</v>
      </c>
      <c r="AF190" s="1">
        <v>10</v>
      </c>
      <c r="AG190" s="1">
        <v>8</v>
      </c>
    </row>
    <row r="191" spans="28:33" x14ac:dyDescent="0.3">
      <c r="AB191" s="3">
        <v>0.422916666666667</v>
      </c>
      <c r="AC191" s="3" t="str">
        <f t="shared" si="18"/>
        <v>10:09</v>
      </c>
      <c r="AD191" s="3">
        <f t="shared" si="19"/>
        <v>0.42291666666666666</v>
      </c>
      <c r="AE191" s="1">
        <v>19</v>
      </c>
      <c r="AF191" s="1">
        <v>10</v>
      </c>
      <c r="AG191" s="1">
        <v>9</v>
      </c>
    </row>
    <row r="192" spans="28:33" x14ac:dyDescent="0.3">
      <c r="AB192" s="3">
        <v>0.42361111111111099</v>
      </c>
      <c r="AC192" s="3" t="str">
        <f t="shared" si="18"/>
        <v>10:10</v>
      </c>
      <c r="AD192" s="3">
        <f t="shared" si="19"/>
        <v>0.4236111111111111</v>
      </c>
      <c r="AE192" s="1">
        <v>20</v>
      </c>
      <c r="AF192" s="1">
        <v>10</v>
      </c>
      <c r="AG192" s="1">
        <v>0</v>
      </c>
    </row>
    <row r="193" spans="28:33" x14ac:dyDescent="0.3">
      <c r="AB193" s="3">
        <v>0.42430555555555499</v>
      </c>
      <c r="AC193" s="3" t="str">
        <f t="shared" si="18"/>
        <v>10:11</v>
      </c>
      <c r="AD193" s="3">
        <f t="shared" si="19"/>
        <v>0.42430555555555555</v>
      </c>
      <c r="AE193" s="1">
        <v>20</v>
      </c>
      <c r="AF193" s="1">
        <v>10</v>
      </c>
      <c r="AG193" s="1">
        <v>1</v>
      </c>
    </row>
    <row r="194" spans="28:33" x14ac:dyDescent="0.3">
      <c r="AB194" s="3">
        <v>0.42499999999999999</v>
      </c>
      <c r="AC194" s="3" t="str">
        <f t="shared" si="18"/>
        <v>10:12</v>
      </c>
      <c r="AD194" s="3">
        <f t="shared" si="19"/>
        <v>0.42499999999999999</v>
      </c>
      <c r="AE194" s="1">
        <v>20</v>
      </c>
      <c r="AF194" s="1">
        <v>10</v>
      </c>
      <c r="AG194" s="1">
        <v>2</v>
      </c>
    </row>
    <row r="195" spans="28:33" x14ac:dyDescent="0.3">
      <c r="AB195" s="3">
        <v>0.42569444444444399</v>
      </c>
      <c r="AC195" s="3" t="str">
        <f t="shared" ref="AC195:AC258" si="20">TEXT(AB195,"hh:mm")</f>
        <v>10:13</v>
      </c>
      <c r="AD195" s="3">
        <f t="shared" ref="AD195:AD258" si="21">VALUE(AC195)</f>
        <v>0.42569444444444443</v>
      </c>
      <c r="AE195" s="1">
        <v>20</v>
      </c>
      <c r="AF195" s="1">
        <v>10</v>
      </c>
      <c r="AG195" s="1">
        <v>3</v>
      </c>
    </row>
    <row r="196" spans="28:33" x14ac:dyDescent="0.3">
      <c r="AB196" s="3">
        <v>0.42638888888888898</v>
      </c>
      <c r="AC196" s="3" t="str">
        <f t="shared" si="20"/>
        <v>10:14</v>
      </c>
      <c r="AD196" s="3">
        <f t="shared" si="21"/>
        <v>0.42638888888888887</v>
      </c>
      <c r="AE196" s="1">
        <v>20</v>
      </c>
      <c r="AF196" s="1">
        <v>10</v>
      </c>
      <c r="AG196" s="1">
        <v>4</v>
      </c>
    </row>
    <row r="197" spans="28:33" x14ac:dyDescent="0.3">
      <c r="AB197" s="3">
        <v>0.42708333333333298</v>
      </c>
      <c r="AC197" s="3" t="str">
        <f t="shared" si="20"/>
        <v>10:15</v>
      </c>
      <c r="AD197" s="3">
        <f t="shared" si="21"/>
        <v>0.42708333333333331</v>
      </c>
      <c r="AE197" s="1">
        <v>20</v>
      </c>
      <c r="AF197" s="1">
        <v>10</v>
      </c>
      <c r="AG197" s="1">
        <v>5</v>
      </c>
    </row>
    <row r="198" spans="28:33" x14ac:dyDescent="0.3">
      <c r="AB198" s="3">
        <v>0.42777777777777798</v>
      </c>
      <c r="AC198" s="3" t="str">
        <f t="shared" si="20"/>
        <v>10:16</v>
      </c>
      <c r="AD198" s="3">
        <f t="shared" si="21"/>
        <v>0.42777777777777781</v>
      </c>
      <c r="AE198" s="1">
        <v>20</v>
      </c>
      <c r="AF198" s="1">
        <v>10</v>
      </c>
      <c r="AG198" s="1">
        <v>6</v>
      </c>
    </row>
    <row r="199" spans="28:33" x14ac:dyDescent="0.3">
      <c r="AB199" s="3">
        <v>0.42847222222222198</v>
      </c>
      <c r="AC199" s="3" t="str">
        <f t="shared" si="20"/>
        <v>10:17</v>
      </c>
      <c r="AD199" s="3">
        <f t="shared" si="21"/>
        <v>0.4284722222222222</v>
      </c>
      <c r="AE199" s="1">
        <v>20</v>
      </c>
      <c r="AF199" s="1">
        <v>10</v>
      </c>
      <c r="AG199" s="1">
        <v>7</v>
      </c>
    </row>
    <row r="200" spans="28:33" x14ac:dyDescent="0.3">
      <c r="AB200" s="3">
        <v>0.42916666666666697</v>
      </c>
      <c r="AC200" s="3" t="str">
        <f t="shared" si="20"/>
        <v>10:18</v>
      </c>
      <c r="AD200" s="3">
        <f t="shared" si="21"/>
        <v>0.4291666666666667</v>
      </c>
      <c r="AE200" s="1">
        <v>20</v>
      </c>
      <c r="AF200" s="1">
        <v>10</v>
      </c>
      <c r="AG200" s="1">
        <v>8</v>
      </c>
    </row>
    <row r="201" spans="28:33" x14ac:dyDescent="0.3">
      <c r="AB201" s="3">
        <v>0.42986111111111103</v>
      </c>
      <c r="AC201" s="3" t="str">
        <f t="shared" si="20"/>
        <v>10:19</v>
      </c>
      <c r="AD201" s="3">
        <f t="shared" si="21"/>
        <v>0.42986111111111108</v>
      </c>
      <c r="AE201" s="1">
        <v>20</v>
      </c>
      <c r="AF201" s="1">
        <v>10</v>
      </c>
      <c r="AG201" s="1">
        <v>9</v>
      </c>
    </row>
    <row r="202" spans="28:33" x14ac:dyDescent="0.3">
      <c r="AB202" s="3">
        <v>0.43055555555555503</v>
      </c>
      <c r="AC202" s="3" t="str">
        <f t="shared" si="20"/>
        <v>10:20</v>
      </c>
      <c r="AD202" s="3">
        <f t="shared" si="21"/>
        <v>0.43055555555555558</v>
      </c>
      <c r="AE202" s="1">
        <v>21</v>
      </c>
      <c r="AF202" s="1">
        <v>10</v>
      </c>
      <c r="AG202" s="1">
        <v>0</v>
      </c>
    </row>
    <row r="203" spans="28:33" x14ac:dyDescent="0.3">
      <c r="AB203" s="3">
        <v>0.43125000000000002</v>
      </c>
      <c r="AC203" s="3" t="str">
        <f t="shared" si="20"/>
        <v>10:21</v>
      </c>
      <c r="AD203" s="3">
        <f t="shared" si="21"/>
        <v>0.43124999999999997</v>
      </c>
      <c r="AE203" s="1">
        <v>21</v>
      </c>
      <c r="AF203" s="1">
        <v>10</v>
      </c>
      <c r="AG203" s="1">
        <v>1</v>
      </c>
    </row>
    <row r="204" spans="28:33" x14ac:dyDescent="0.3">
      <c r="AB204" s="3">
        <v>0.43194444444444402</v>
      </c>
      <c r="AC204" s="3" t="str">
        <f t="shared" si="20"/>
        <v>10:22</v>
      </c>
      <c r="AD204" s="3">
        <f t="shared" si="21"/>
        <v>0.43194444444444446</v>
      </c>
      <c r="AE204" s="1">
        <v>21</v>
      </c>
      <c r="AF204" s="1">
        <v>10</v>
      </c>
      <c r="AG204" s="1">
        <v>2</v>
      </c>
    </row>
    <row r="205" spans="28:33" x14ac:dyDescent="0.3">
      <c r="AB205" s="3">
        <v>0.43263888888888902</v>
      </c>
      <c r="AC205" s="3" t="str">
        <f t="shared" si="20"/>
        <v>10:23</v>
      </c>
      <c r="AD205" s="3">
        <f t="shared" si="21"/>
        <v>0.43263888888888885</v>
      </c>
      <c r="AE205" s="1">
        <v>21</v>
      </c>
      <c r="AF205" s="1">
        <v>10</v>
      </c>
      <c r="AG205" s="1">
        <v>3</v>
      </c>
    </row>
    <row r="206" spans="28:33" x14ac:dyDescent="0.3">
      <c r="AB206" s="3">
        <v>0.43333333333333302</v>
      </c>
      <c r="AC206" s="3" t="str">
        <f t="shared" si="20"/>
        <v>10:24</v>
      </c>
      <c r="AD206" s="3">
        <f t="shared" si="21"/>
        <v>0.43333333333333335</v>
      </c>
      <c r="AE206" s="1">
        <v>21</v>
      </c>
      <c r="AF206" s="1">
        <v>10</v>
      </c>
      <c r="AG206" s="1">
        <v>4</v>
      </c>
    </row>
    <row r="207" spans="28:33" x14ac:dyDescent="0.3">
      <c r="AB207" s="3">
        <v>0.43402777777777801</v>
      </c>
      <c r="AC207" s="3" t="str">
        <f t="shared" si="20"/>
        <v>10:25</v>
      </c>
      <c r="AD207" s="3">
        <f t="shared" si="21"/>
        <v>0.43402777777777773</v>
      </c>
      <c r="AE207" s="1">
        <v>21</v>
      </c>
      <c r="AF207" s="1">
        <v>10</v>
      </c>
      <c r="AG207" s="1">
        <v>5</v>
      </c>
    </row>
    <row r="208" spans="28:33" x14ac:dyDescent="0.3">
      <c r="AB208" s="3">
        <v>0.43472222222222201</v>
      </c>
      <c r="AC208" s="3" t="str">
        <f t="shared" si="20"/>
        <v>10:26</v>
      </c>
      <c r="AD208" s="3">
        <f t="shared" si="21"/>
        <v>0.43472222222222223</v>
      </c>
      <c r="AE208" s="1">
        <v>21</v>
      </c>
      <c r="AF208" s="1">
        <v>10</v>
      </c>
      <c r="AG208" s="1">
        <v>6</v>
      </c>
    </row>
    <row r="209" spans="28:33" x14ac:dyDescent="0.3">
      <c r="AB209" s="3">
        <v>0.43541666666666601</v>
      </c>
      <c r="AC209" s="3" t="str">
        <f t="shared" si="20"/>
        <v>10:27</v>
      </c>
      <c r="AD209" s="3">
        <f t="shared" si="21"/>
        <v>0.43541666666666662</v>
      </c>
      <c r="AE209" s="1">
        <v>21</v>
      </c>
      <c r="AF209" s="1">
        <v>10</v>
      </c>
      <c r="AG209" s="1">
        <v>7</v>
      </c>
    </row>
    <row r="210" spans="28:33" x14ac:dyDescent="0.3">
      <c r="AB210" s="3">
        <v>0.43611111111111101</v>
      </c>
      <c r="AC210" s="3" t="str">
        <f t="shared" si="20"/>
        <v>10:28</v>
      </c>
      <c r="AD210" s="3">
        <f t="shared" si="21"/>
        <v>0.43611111111111112</v>
      </c>
      <c r="AE210" s="1">
        <v>21</v>
      </c>
      <c r="AF210" s="1">
        <v>10</v>
      </c>
      <c r="AG210" s="1">
        <v>8</v>
      </c>
    </row>
    <row r="211" spans="28:33" x14ac:dyDescent="0.3">
      <c r="AB211" s="3">
        <v>0.436805555555555</v>
      </c>
      <c r="AC211" s="3" t="str">
        <f t="shared" si="20"/>
        <v>10:29</v>
      </c>
      <c r="AD211" s="3">
        <f t="shared" si="21"/>
        <v>0.4368055555555555</v>
      </c>
      <c r="AE211" s="1">
        <v>21</v>
      </c>
      <c r="AF211" s="1">
        <v>10</v>
      </c>
      <c r="AG211" s="1">
        <v>9</v>
      </c>
    </row>
    <row r="212" spans="28:33" x14ac:dyDescent="0.3">
      <c r="AB212" s="3">
        <v>0.4375</v>
      </c>
      <c r="AC212" s="3" t="str">
        <f t="shared" si="20"/>
        <v>10:30</v>
      </c>
      <c r="AD212" s="3">
        <f t="shared" si="21"/>
        <v>0.4375</v>
      </c>
      <c r="AE212" s="1">
        <v>22</v>
      </c>
      <c r="AF212" s="1">
        <v>10</v>
      </c>
      <c r="AG212" s="1">
        <v>0</v>
      </c>
    </row>
    <row r="213" spans="28:33" x14ac:dyDescent="0.3">
      <c r="AB213" s="3">
        <v>0.438194444444444</v>
      </c>
      <c r="AC213" s="3" t="str">
        <f t="shared" si="20"/>
        <v>10:31</v>
      </c>
      <c r="AD213" s="3">
        <f t="shared" si="21"/>
        <v>0.4381944444444445</v>
      </c>
      <c r="AE213" s="1">
        <v>22</v>
      </c>
      <c r="AF213" s="1">
        <v>10</v>
      </c>
      <c r="AG213" s="1">
        <v>1</v>
      </c>
    </row>
    <row r="214" spans="28:33" x14ac:dyDescent="0.3">
      <c r="AB214" s="3">
        <v>0.43888888888888899</v>
      </c>
      <c r="AC214" s="3" t="str">
        <f t="shared" si="20"/>
        <v>10:32</v>
      </c>
      <c r="AD214" s="3">
        <f t="shared" si="21"/>
        <v>0.43888888888888888</v>
      </c>
      <c r="AE214" s="1">
        <v>22</v>
      </c>
      <c r="AF214" s="1">
        <v>10</v>
      </c>
      <c r="AG214" s="1">
        <v>2</v>
      </c>
    </row>
    <row r="215" spans="28:33" x14ac:dyDescent="0.3">
      <c r="AB215" s="3">
        <v>0.43958333333333299</v>
      </c>
      <c r="AC215" s="3" t="str">
        <f t="shared" si="20"/>
        <v>10:33</v>
      </c>
      <c r="AD215" s="3">
        <f t="shared" si="21"/>
        <v>0.43958333333333338</v>
      </c>
      <c r="AE215" s="1">
        <v>22</v>
      </c>
      <c r="AF215" s="1">
        <v>10</v>
      </c>
      <c r="AG215" s="1">
        <v>3</v>
      </c>
    </row>
    <row r="216" spans="28:33" x14ac:dyDescent="0.3">
      <c r="AB216" s="3">
        <v>0.44027777777777799</v>
      </c>
      <c r="AC216" s="3" t="str">
        <f t="shared" si="20"/>
        <v>10:34</v>
      </c>
      <c r="AD216" s="3">
        <f t="shared" si="21"/>
        <v>0.44027777777777777</v>
      </c>
      <c r="AE216" s="1">
        <v>22</v>
      </c>
      <c r="AF216" s="1">
        <v>10</v>
      </c>
      <c r="AG216" s="1">
        <v>4</v>
      </c>
    </row>
    <row r="217" spans="28:33" x14ac:dyDescent="0.3">
      <c r="AB217" s="3">
        <v>0.44097222222222199</v>
      </c>
      <c r="AC217" s="3" t="str">
        <f t="shared" si="20"/>
        <v>10:35</v>
      </c>
      <c r="AD217" s="3">
        <f t="shared" si="21"/>
        <v>0.44097222222222227</v>
      </c>
      <c r="AE217" s="1">
        <v>22</v>
      </c>
      <c r="AF217" s="1">
        <v>10</v>
      </c>
      <c r="AG217" s="1">
        <v>5</v>
      </c>
    </row>
    <row r="218" spans="28:33" x14ac:dyDescent="0.3">
      <c r="AB218" s="3">
        <v>0.44166666666666599</v>
      </c>
      <c r="AC218" s="3" t="str">
        <f t="shared" si="20"/>
        <v>10:36</v>
      </c>
      <c r="AD218" s="3">
        <f t="shared" si="21"/>
        <v>0.44166666666666665</v>
      </c>
      <c r="AE218" s="1">
        <v>22</v>
      </c>
      <c r="AF218" s="1">
        <v>10</v>
      </c>
      <c r="AG218" s="1">
        <v>6</v>
      </c>
    </row>
    <row r="219" spans="28:33" x14ac:dyDescent="0.3">
      <c r="AB219" s="3">
        <v>0.44236111111111098</v>
      </c>
      <c r="AC219" s="3" t="str">
        <f t="shared" si="20"/>
        <v>10:37</v>
      </c>
      <c r="AD219" s="3">
        <f t="shared" si="21"/>
        <v>0.44236111111111115</v>
      </c>
      <c r="AE219" s="1">
        <v>22</v>
      </c>
      <c r="AF219" s="1">
        <v>10</v>
      </c>
      <c r="AG219" s="1">
        <v>7</v>
      </c>
    </row>
    <row r="220" spans="28:33" x14ac:dyDescent="0.3">
      <c r="AB220" s="3">
        <v>0.44305555555555498</v>
      </c>
      <c r="AC220" s="3" t="str">
        <f t="shared" si="20"/>
        <v>10:38</v>
      </c>
      <c r="AD220" s="3">
        <f t="shared" si="21"/>
        <v>0.44305555555555554</v>
      </c>
      <c r="AE220" s="1">
        <v>22</v>
      </c>
      <c r="AF220" s="1">
        <v>10</v>
      </c>
      <c r="AG220" s="1">
        <v>8</v>
      </c>
    </row>
    <row r="221" spans="28:33" x14ac:dyDescent="0.3">
      <c r="AB221" s="3">
        <v>0.44374999999999998</v>
      </c>
      <c r="AC221" s="3" t="str">
        <f t="shared" si="20"/>
        <v>10:39</v>
      </c>
      <c r="AD221" s="3">
        <f t="shared" si="21"/>
        <v>0.44375000000000003</v>
      </c>
      <c r="AE221" s="1">
        <v>22</v>
      </c>
      <c r="AF221" s="1">
        <v>10</v>
      </c>
      <c r="AG221" s="1">
        <v>9</v>
      </c>
    </row>
    <row r="222" spans="28:33" x14ac:dyDescent="0.3">
      <c r="AB222" s="3">
        <v>0.44444444444444398</v>
      </c>
      <c r="AC222" s="3" t="str">
        <f t="shared" si="20"/>
        <v>10:40</v>
      </c>
      <c r="AD222" s="3">
        <f t="shared" si="21"/>
        <v>0.44444444444444442</v>
      </c>
      <c r="AE222" s="1">
        <v>23</v>
      </c>
      <c r="AF222" s="1">
        <v>10</v>
      </c>
      <c r="AG222" s="1">
        <v>0</v>
      </c>
    </row>
    <row r="223" spans="28:33" x14ac:dyDescent="0.3">
      <c r="AB223" s="3">
        <v>0.44513888888888897</v>
      </c>
      <c r="AC223" s="3" t="str">
        <f t="shared" si="20"/>
        <v>10:41</v>
      </c>
      <c r="AD223" s="3">
        <f t="shared" si="21"/>
        <v>0.44513888888888892</v>
      </c>
      <c r="AE223" s="1">
        <v>23</v>
      </c>
      <c r="AF223" s="1">
        <v>10</v>
      </c>
      <c r="AG223" s="1">
        <v>1</v>
      </c>
    </row>
    <row r="224" spans="28:33" x14ac:dyDescent="0.3">
      <c r="AB224" s="3">
        <v>0.44583333333333303</v>
      </c>
      <c r="AC224" s="3" t="str">
        <f t="shared" si="20"/>
        <v>10:42</v>
      </c>
      <c r="AD224" s="3">
        <f t="shared" si="21"/>
        <v>0.4458333333333333</v>
      </c>
      <c r="AE224" s="1">
        <v>23</v>
      </c>
      <c r="AF224" s="1">
        <v>10</v>
      </c>
      <c r="AG224" s="1">
        <v>2</v>
      </c>
    </row>
    <row r="225" spans="28:33" x14ac:dyDescent="0.3">
      <c r="AB225" s="3">
        <v>0.44652777777777802</v>
      </c>
      <c r="AC225" s="3" t="str">
        <f t="shared" si="20"/>
        <v>10:43</v>
      </c>
      <c r="AD225" s="3">
        <f t="shared" si="21"/>
        <v>0.4465277777777778</v>
      </c>
      <c r="AE225" s="1">
        <v>23</v>
      </c>
      <c r="AF225" s="1">
        <v>10</v>
      </c>
      <c r="AG225" s="1">
        <v>3</v>
      </c>
    </row>
    <row r="226" spans="28:33" x14ac:dyDescent="0.3">
      <c r="AB226" s="3">
        <v>0.44722222222222202</v>
      </c>
      <c r="AC226" s="3" t="str">
        <f t="shared" si="20"/>
        <v>10:44</v>
      </c>
      <c r="AD226" s="3">
        <f t="shared" si="21"/>
        <v>0.44722222222222219</v>
      </c>
      <c r="AE226" s="1">
        <v>23</v>
      </c>
      <c r="AF226" s="1">
        <v>10</v>
      </c>
      <c r="AG226" s="1">
        <v>4</v>
      </c>
    </row>
    <row r="227" spans="28:33" x14ac:dyDescent="0.3">
      <c r="AB227" s="3">
        <v>0.44791666666666602</v>
      </c>
      <c r="AC227" s="3" t="str">
        <f t="shared" si="20"/>
        <v>10:45</v>
      </c>
      <c r="AD227" s="3">
        <f t="shared" si="21"/>
        <v>0.44791666666666669</v>
      </c>
      <c r="AE227" s="1">
        <v>23</v>
      </c>
      <c r="AF227" s="1">
        <v>10</v>
      </c>
      <c r="AG227" s="1">
        <v>5</v>
      </c>
    </row>
    <row r="228" spans="28:33" x14ac:dyDescent="0.3">
      <c r="AB228" s="3">
        <v>0.44861111111111102</v>
      </c>
      <c r="AC228" s="3" t="str">
        <f t="shared" si="20"/>
        <v>10:46</v>
      </c>
      <c r="AD228" s="3">
        <f t="shared" si="21"/>
        <v>0.44861111111111113</v>
      </c>
      <c r="AE228" s="1">
        <v>23</v>
      </c>
      <c r="AF228" s="1">
        <v>10</v>
      </c>
      <c r="AG228" s="1">
        <v>6</v>
      </c>
    </row>
    <row r="229" spans="28:33" x14ac:dyDescent="0.3">
      <c r="AB229" s="3">
        <v>0.44930555555555501</v>
      </c>
      <c r="AC229" s="3" t="str">
        <f t="shared" si="20"/>
        <v>10:47</v>
      </c>
      <c r="AD229" s="3">
        <f t="shared" si="21"/>
        <v>0.44930555555555557</v>
      </c>
      <c r="AE229" s="1">
        <v>23</v>
      </c>
      <c r="AF229" s="1">
        <v>10</v>
      </c>
      <c r="AG229" s="1">
        <v>7</v>
      </c>
    </row>
    <row r="230" spans="28:33" x14ac:dyDescent="0.3">
      <c r="AB230" s="3">
        <v>0.45</v>
      </c>
      <c r="AC230" s="3" t="str">
        <f t="shared" si="20"/>
        <v>10:48</v>
      </c>
      <c r="AD230" s="3">
        <f t="shared" si="21"/>
        <v>0.45</v>
      </c>
      <c r="AE230" s="1">
        <v>23</v>
      </c>
      <c r="AF230" s="1">
        <v>10</v>
      </c>
      <c r="AG230" s="1">
        <v>8</v>
      </c>
    </row>
    <row r="231" spans="28:33" x14ac:dyDescent="0.3">
      <c r="AB231" s="3">
        <v>0.45069444444444401</v>
      </c>
      <c r="AC231" s="3" t="str">
        <f t="shared" si="20"/>
        <v>10:49</v>
      </c>
      <c r="AD231" s="3">
        <f t="shared" si="21"/>
        <v>0.45069444444444445</v>
      </c>
      <c r="AE231" s="1">
        <v>23</v>
      </c>
      <c r="AF231" s="1">
        <v>10</v>
      </c>
      <c r="AG231" s="1">
        <v>9</v>
      </c>
    </row>
    <row r="232" spans="28:33" x14ac:dyDescent="0.3">
      <c r="AB232" s="3">
        <v>0.45138888888888901</v>
      </c>
      <c r="AC232" s="3" t="str">
        <f t="shared" si="20"/>
        <v>10:50</v>
      </c>
      <c r="AD232" s="3">
        <f t="shared" si="21"/>
        <v>0.4513888888888889</v>
      </c>
      <c r="AE232" s="1">
        <v>24</v>
      </c>
      <c r="AF232" s="1">
        <v>10</v>
      </c>
      <c r="AG232" s="1">
        <v>0</v>
      </c>
    </row>
    <row r="233" spans="28:33" x14ac:dyDescent="0.3">
      <c r="AB233" s="3">
        <v>0.452083333333333</v>
      </c>
      <c r="AC233" s="3" t="str">
        <f t="shared" si="20"/>
        <v>10:51</v>
      </c>
      <c r="AD233" s="3">
        <f t="shared" si="21"/>
        <v>0.45208333333333334</v>
      </c>
      <c r="AE233" s="1">
        <v>24</v>
      </c>
      <c r="AF233" s="1">
        <v>10</v>
      </c>
      <c r="AG233" s="1">
        <v>1</v>
      </c>
    </row>
    <row r="234" spans="28:33" x14ac:dyDescent="0.3">
      <c r="AB234" s="3">
        <v>0.452777777777778</v>
      </c>
      <c r="AC234" s="3" t="str">
        <f t="shared" si="20"/>
        <v>10:52</v>
      </c>
      <c r="AD234" s="3">
        <f t="shared" si="21"/>
        <v>0.45277777777777778</v>
      </c>
      <c r="AE234" s="1">
        <v>24</v>
      </c>
      <c r="AF234" s="1">
        <v>10</v>
      </c>
      <c r="AG234" s="1">
        <v>2</v>
      </c>
    </row>
    <row r="235" spans="28:33" x14ac:dyDescent="0.3">
      <c r="AB235" s="3">
        <v>0.453472222222222</v>
      </c>
      <c r="AC235" s="3" t="str">
        <f t="shared" si="20"/>
        <v>10:53</v>
      </c>
      <c r="AD235" s="3">
        <f t="shared" si="21"/>
        <v>0.45347222222222222</v>
      </c>
      <c r="AE235" s="1">
        <v>24</v>
      </c>
      <c r="AF235" s="1">
        <v>10</v>
      </c>
      <c r="AG235" s="1">
        <v>3</v>
      </c>
    </row>
    <row r="236" spans="28:33" x14ac:dyDescent="0.3">
      <c r="AB236" s="3">
        <v>0.454166666666666</v>
      </c>
      <c r="AC236" s="3" t="str">
        <f t="shared" si="20"/>
        <v>10:54</v>
      </c>
      <c r="AD236" s="3">
        <f t="shared" si="21"/>
        <v>0.45416666666666666</v>
      </c>
      <c r="AE236" s="1">
        <v>24</v>
      </c>
      <c r="AF236" s="1">
        <v>10</v>
      </c>
      <c r="AG236" s="1">
        <v>4</v>
      </c>
    </row>
    <row r="237" spans="28:33" x14ac:dyDescent="0.3">
      <c r="AB237" s="3">
        <v>0.45486111111111099</v>
      </c>
      <c r="AC237" s="3" t="str">
        <f t="shared" si="20"/>
        <v>10:55</v>
      </c>
      <c r="AD237" s="3">
        <f t="shared" si="21"/>
        <v>0.4548611111111111</v>
      </c>
      <c r="AE237" s="1">
        <v>24</v>
      </c>
      <c r="AF237" s="1">
        <v>10</v>
      </c>
      <c r="AG237" s="1">
        <v>5</v>
      </c>
    </row>
    <row r="238" spans="28:33" x14ac:dyDescent="0.3">
      <c r="AB238" s="3">
        <v>0.45555555555555499</v>
      </c>
      <c r="AC238" s="3" t="str">
        <f t="shared" si="20"/>
        <v>10:56</v>
      </c>
      <c r="AD238" s="3">
        <f t="shared" si="21"/>
        <v>0.45555555555555555</v>
      </c>
      <c r="AE238" s="1">
        <v>24</v>
      </c>
      <c r="AF238" s="1">
        <v>10</v>
      </c>
      <c r="AG238" s="1">
        <v>6</v>
      </c>
    </row>
    <row r="239" spans="28:33" x14ac:dyDescent="0.3">
      <c r="AB239" s="3">
        <v>0.45624999999999999</v>
      </c>
      <c r="AC239" s="3" t="str">
        <f t="shared" si="20"/>
        <v>10:57</v>
      </c>
      <c r="AD239" s="3">
        <f t="shared" si="21"/>
        <v>0.45624999999999999</v>
      </c>
      <c r="AE239" s="1">
        <v>24</v>
      </c>
      <c r="AF239" s="1">
        <v>10</v>
      </c>
      <c r="AG239" s="1">
        <v>7</v>
      </c>
    </row>
    <row r="240" spans="28:33" x14ac:dyDescent="0.3">
      <c r="AB240" s="3">
        <v>0.45694444444444399</v>
      </c>
      <c r="AC240" s="3" t="str">
        <f t="shared" si="20"/>
        <v>10:58</v>
      </c>
      <c r="AD240" s="3">
        <f t="shared" si="21"/>
        <v>0.45694444444444443</v>
      </c>
      <c r="AE240" s="1">
        <v>24</v>
      </c>
      <c r="AF240" s="1">
        <v>10</v>
      </c>
      <c r="AG240" s="1">
        <v>8</v>
      </c>
    </row>
    <row r="241" spans="28:33" x14ac:dyDescent="0.3">
      <c r="AB241" s="3">
        <v>0.45763888888888898</v>
      </c>
      <c r="AC241" s="3" t="str">
        <f t="shared" si="20"/>
        <v>10:59</v>
      </c>
      <c r="AD241" s="3">
        <f t="shared" si="21"/>
        <v>0.45763888888888887</v>
      </c>
      <c r="AE241" s="1">
        <v>24</v>
      </c>
      <c r="AF241" s="1">
        <v>10</v>
      </c>
      <c r="AG241" s="1">
        <v>9</v>
      </c>
    </row>
    <row r="242" spans="28:33" x14ac:dyDescent="0.3">
      <c r="AB242" s="3">
        <v>0.45833333333333298</v>
      </c>
      <c r="AC242" s="3" t="str">
        <f t="shared" si="20"/>
        <v>11:00</v>
      </c>
      <c r="AD242" s="3">
        <f t="shared" si="21"/>
        <v>0.45833333333333331</v>
      </c>
      <c r="AE242" s="1">
        <v>25</v>
      </c>
      <c r="AF242" s="1">
        <v>10</v>
      </c>
      <c r="AG242" s="1">
        <v>0</v>
      </c>
    </row>
    <row r="243" spans="28:33" x14ac:dyDescent="0.3">
      <c r="AB243" s="3">
        <v>0.45902777777777798</v>
      </c>
      <c r="AC243" s="3" t="str">
        <f t="shared" si="20"/>
        <v>11:01</v>
      </c>
      <c r="AD243" s="3">
        <f t="shared" si="21"/>
        <v>0.45902777777777781</v>
      </c>
      <c r="AE243" s="1">
        <v>25</v>
      </c>
      <c r="AF243" s="1">
        <v>10</v>
      </c>
      <c r="AG243" s="1">
        <v>1</v>
      </c>
    </row>
    <row r="244" spans="28:33" x14ac:dyDescent="0.3">
      <c r="AB244" s="3">
        <v>0.45972222222222198</v>
      </c>
      <c r="AC244" s="3" t="str">
        <f t="shared" si="20"/>
        <v>11:02</v>
      </c>
      <c r="AD244" s="3">
        <f t="shared" si="21"/>
        <v>0.4597222222222222</v>
      </c>
      <c r="AE244" s="1">
        <v>25</v>
      </c>
      <c r="AF244" s="1">
        <v>10</v>
      </c>
      <c r="AG244" s="1">
        <v>2</v>
      </c>
    </row>
    <row r="245" spans="28:33" x14ac:dyDescent="0.3">
      <c r="AB245" s="3">
        <v>0.46041666666666597</v>
      </c>
      <c r="AC245" s="3" t="str">
        <f t="shared" si="20"/>
        <v>11:03</v>
      </c>
      <c r="AD245" s="3">
        <f t="shared" si="21"/>
        <v>0.4604166666666667</v>
      </c>
      <c r="AE245" s="1">
        <v>25</v>
      </c>
      <c r="AF245" s="1">
        <v>10</v>
      </c>
      <c r="AG245" s="1">
        <v>3</v>
      </c>
    </row>
    <row r="246" spans="28:33" x14ac:dyDescent="0.3">
      <c r="AB246" s="3">
        <v>0.46111111111111103</v>
      </c>
      <c r="AC246" s="3" t="str">
        <f t="shared" si="20"/>
        <v>11:04</v>
      </c>
      <c r="AD246" s="3">
        <f t="shared" si="21"/>
        <v>0.46111111111111108</v>
      </c>
      <c r="AE246" s="1">
        <v>25</v>
      </c>
      <c r="AF246" s="1">
        <v>10</v>
      </c>
      <c r="AG246" s="1">
        <v>4</v>
      </c>
    </row>
    <row r="247" spans="28:33" x14ac:dyDescent="0.3">
      <c r="AB247" s="3">
        <v>0.46180555555555503</v>
      </c>
      <c r="AC247" s="3" t="str">
        <f t="shared" si="20"/>
        <v>11:05</v>
      </c>
      <c r="AD247" s="3">
        <f t="shared" si="21"/>
        <v>0.46180555555555558</v>
      </c>
      <c r="AE247" s="1">
        <v>25</v>
      </c>
      <c r="AF247" s="1">
        <v>10</v>
      </c>
      <c r="AG247" s="1">
        <v>5</v>
      </c>
    </row>
    <row r="248" spans="28:33" x14ac:dyDescent="0.3">
      <c r="AB248" s="3">
        <v>0.46250000000000002</v>
      </c>
      <c r="AC248" s="3" t="str">
        <f t="shared" si="20"/>
        <v>11:06</v>
      </c>
      <c r="AD248" s="3">
        <f t="shared" si="21"/>
        <v>0.46249999999999997</v>
      </c>
      <c r="AE248" s="1">
        <v>25</v>
      </c>
      <c r="AF248" s="1">
        <v>10</v>
      </c>
      <c r="AG248" s="1">
        <v>6</v>
      </c>
    </row>
    <row r="249" spans="28:33" x14ac:dyDescent="0.3">
      <c r="AB249" s="3">
        <v>0.46319444444444402</v>
      </c>
      <c r="AC249" s="3" t="str">
        <f t="shared" si="20"/>
        <v>11:07</v>
      </c>
      <c r="AD249" s="3">
        <f t="shared" si="21"/>
        <v>0.46319444444444446</v>
      </c>
      <c r="AE249" s="1">
        <v>25</v>
      </c>
      <c r="AF249" s="1">
        <v>10</v>
      </c>
      <c r="AG249" s="1">
        <v>7</v>
      </c>
    </row>
    <row r="250" spans="28:33" x14ac:dyDescent="0.3">
      <c r="AB250" s="3">
        <v>0.46388888888888902</v>
      </c>
      <c r="AC250" s="3" t="str">
        <f t="shared" si="20"/>
        <v>11:08</v>
      </c>
      <c r="AD250" s="3">
        <f t="shared" si="21"/>
        <v>0.46388888888888885</v>
      </c>
      <c r="AE250" s="1">
        <v>25</v>
      </c>
      <c r="AF250" s="1">
        <v>10</v>
      </c>
      <c r="AG250" s="1">
        <v>8</v>
      </c>
    </row>
    <row r="251" spans="28:33" x14ac:dyDescent="0.3">
      <c r="AB251" s="3">
        <v>0.46458333333333302</v>
      </c>
      <c r="AC251" s="3" t="str">
        <f t="shared" si="20"/>
        <v>11:09</v>
      </c>
      <c r="AD251" s="3">
        <f t="shared" si="21"/>
        <v>0.46458333333333335</v>
      </c>
      <c r="AE251" s="1">
        <v>25</v>
      </c>
      <c r="AF251" s="1">
        <v>10</v>
      </c>
      <c r="AG251" s="1">
        <v>9</v>
      </c>
    </row>
    <row r="252" spans="28:33" x14ac:dyDescent="0.3">
      <c r="AB252" s="3">
        <v>0.46527777777777701</v>
      </c>
      <c r="AC252" s="3" t="str">
        <f t="shared" si="20"/>
        <v>11:10</v>
      </c>
      <c r="AD252" s="3">
        <f t="shared" si="21"/>
        <v>0.46527777777777773</v>
      </c>
      <c r="AE252" s="1">
        <v>26</v>
      </c>
      <c r="AF252" s="1">
        <v>10</v>
      </c>
      <c r="AG252" s="1">
        <v>0</v>
      </c>
    </row>
    <row r="253" spans="28:33" x14ac:dyDescent="0.3">
      <c r="AB253" s="3">
        <v>0.46597222222222201</v>
      </c>
      <c r="AC253" s="3" t="str">
        <f t="shared" si="20"/>
        <v>11:11</v>
      </c>
      <c r="AD253" s="3">
        <f t="shared" si="21"/>
        <v>0.46597222222222223</v>
      </c>
      <c r="AE253" s="1">
        <v>26</v>
      </c>
      <c r="AF253" s="1">
        <v>10</v>
      </c>
      <c r="AG253" s="1">
        <v>1</v>
      </c>
    </row>
    <row r="254" spans="28:33" x14ac:dyDescent="0.3">
      <c r="AB254" s="3">
        <v>0.46666666666666601</v>
      </c>
      <c r="AC254" s="3" t="str">
        <f t="shared" si="20"/>
        <v>11:12</v>
      </c>
      <c r="AD254" s="3">
        <f t="shared" si="21"/>
        <v>0.46666666666666662</v>
      </c>
      <c r="AE254" s="1">
        <v>26</v>
      </c>
      <c r="AF254" s="1">
        <v>10</v>
      </c>
      <c r="AG254" s="1">
        <v>2</v>
      </c>
    </row>
    <row r="255" spans="28:33" x14ac:dyDescent="0.3">
      <c r="AB255" s="3">
        <v>0.46736111111111101</v>
      </c>
      <c r="AC255" s="3" t="str">
        <f t="shared" si="20"/>
        <v>11:13</v>
      </c>
      <c r="AD255" s="3">
        <f t="shared" si="21"/>
        <v>0.46736111111111112</v>
      </c>
      <c r="AE255" s="1">
        <v>26</v>
      </c>
      <c r="AF255" s="1">
        <v>10</v>
      </c>
      <c r="AG255" s="1">
        <v>3</v>
      </c>
    </row>
    <row r="256" spans="28:33" x14ac:dyDescent="0.3">
      <c r="AB256" s="3">
        <v>0.468055555555555</v>
      </c>
      <c r="AC256" s="3" t="str">
        <f t="shared" si="20"/>
        <v>11:14</v>
      </c>
      <c r="AD256" s="3">
        <f t="shared" si="21"/>
        <v>0.4680555555555555</v>
      </c>
      <c r="AE256" s="1">
        <v>26</v>
      </c>
      <c r="AF256" s="1">
        <v>10</v>
      </c>
      <c r="AG256" s="1">
        <v>4</v>
      </c>
    </row>
    <row r="257" spans="28:33" x14ac:dyDescent="0.3">
      <c r="AB257" s="3">
        <v>0.46875</v>
      </c>
      <c r="AC257" s="3" t="str">
        <f t="shared" si="20"/>
        <v>11:15</v>
      </c>
      <c r="AD257" s="3">
        <f t="shared" si="21"/>
        <v>0.46875</v>
      </c>
      <c r="AE257" s="1">
        <v>26</v>
      </c>
      <c r="AF257" s="1">
        <v>10</v>
      </c>
      <c r="AG257" s="1">
        <v>5</v>
      </c>
    </row>
    <row r="258" spans="28:33" x14ac:dyDescent="0.3">
      <c r="AB258" s="3">
        <v>0.469444444444444</v>
      </c>
      <c r="AC258" s="3" t="str">
        <f t="shared" si="20"/>
        <v>11:16</v>
      </c>
      <c r="AD258" s="3">
        <f t="shared" si="21"/>
        <v>0.4694444444444445</v>
      </c>
      <c r="AE258" s="1">
        <v>26</v>
      </c>
      <c r="AF258" s="1">
        <v>10</v>
      </c>
      <c r="AG258" s="1">
        <v>6</v>
      </c>
    </row>
    <row r="259" spans="28:33" x14ac:dyDescent="0.3">
      <c r="AB259" s="3">
        <v>0.47013888888888899</v>
      </c>
      <c r="AC259" s="3" t="str">
        <f t="shared" ref="AC259:AC322" si="22">TEXT(AB259,"hh:mm")</f>
        <v>11:17</v>
      </c>
      <c r="AD259" s="3">
        <f t="shared" ref="AD259:AD322" si="23">VALUE(AC259)</f>
        <v>0.47013888888888888</v>
      </c>
      <c r="AE259" s="1">
        <v>26</v>
      </c>
      <c r="AF259" s="1">
        <v>10</v>
      </c>
      <c r="AG259" s="1">
        <v>7</v>
      </c>
    </row>
    <row r="260" spans="28:33" x14ac:dyDescent="0.3">
      <c r="AB260" s="3">
        <v>0.47083333333333299</v>
      </c>
      <c r="AC260" s="3" t="str">
        <f t="shared" si="22"/>
        <v>11:18</v>
      </c>
      <c r="AD260" s="3">
        <f t="shared" si="23"/>
        <v>0.47083333333333338</v>
      </c>
      <c r="AE260" s="1">
        <v>26</v>
      </c>
      <c r="AF260" s="1">
        <v>10</v>
      </c>
      <c r="AG260" s="1">
        <v>8</v>
      </c>
    </row>
    <row r="261" spans="28:33" x14ac:dyDescent="0.3">
      <c r="AB261" s="3">
        <v>0.47152777777777699</v>
      </c>
      <c r="AC261" s="3" t="str">
        <f t="shared" si="22"/>
        <v>11:19</v>
      </c>
      <c r="AD261" s="3">
        <f t="shared" si="23"/>
        <v>0.47152777777777777</v>
      </c>
      <c r="AE261" s="1">
        <v>26</v>
      </c>
      <c r="AF261" s="1">
        <v>10</v>
      </c>
      <c r="AG261" s="1">
        <v>9</v>
      </c>
    </row>
    <row r="262" spans="28:33" x14ac:dyDescent="0.3">
      <c r="AB262" s="3">
        <v>0.47222222222222199</v>
      </c>
      <c r="AC262" s="3" t="str">
        <f t="shared" si="22"/>
        <v>11:20</v>
      </c>
      <c r="AD262" s="3">
        <f t="shared" si="23"/>
        <v>0.47222222222222227</v>
      </c>
      <c r="AE262" s="1">
        <v>27</v>
      </c>
      <c r="AF262" s="1">
        <v>10</v>
      </c>
      <c r="AG262" s="1">
        <v>0</v>
      </c>
    </row>
    <row r="263" spans="28:33" x14ac:dyDescent="0.3">
      <c r="AB263" s="3">
        <v>0.47291666666666599</v>
      </c>
      <c r="AC263" s="3" t="str">
        <f t="shared" si="22"/>
        <v>11:21</v>
      </c>
      <c r="AD263" s="3">
        <f t="shared" si="23"/>
        <v>0.47291666666666665</v>
      </c>
      <c r="AE263" s="1">
        <v>27</v>
      </c>
      <c r="AF263" s="1">
        <v>10</v>
      </c>
      <c r="AG263" s="1">
        <v>1</v>
      </c>
    </row>
    <row r="264" spans="28:33" x14ac:dyDescent="0.3">
      <c r="AB264" s="3">
        <v>0.47361111111111098</v>
      </c>
      <c r="AC264" s="3" t="str">
        <f t="shared" si="22"/>
        <v>11:22</v>
      </c>
      <c r="AD264" s="3">
        <f t="shared" si="23"/>
        <v>0.47361111111111115</v>
      </c>
      <c r="AE264" s="1">
        <v>27</v>
      </c>
      <c r="AF264" s="1">
        <v>10</v>
      </c>
      <c r="AG264" s="1">
        <v>2</v>
      </c>
    </row>
    <row r="265" spans="28:33" x14ac:dyDescent="0.3">
      <c r="AB265" s="3">
        <v>0.47430555555555498</v>
      </c>
      <c r="AC265" s="3" t="str">
        <f t="shared" si="22"/>
        <v>11:23</v>
      </c>
      <c r="AD265" s="3">
        <f t="shared" si="23"/>
        <v>0.47430555555555554</v>
      </c>
      <c r="AE265" s="1">
        <v>27</v>
      </c>
      <c r="AF265" s="1">
        <v>10</v>
      </c>
      <c r="AG265" s="1">
        <v>3</v>
      </c>
    </row>
    <row r="266" spans="28:33" x14ac:dyDescent="0.3">
      <c r="AB266" s="3">
        <v>0.47499999999999998</v>
      </c>
      <c r="AC266" s="3" t="str">
        <f t="shared" si="22"/>
        <v>11:24</v>
      </c>
      <c r="AD266" s="3">
        <f t="shared" si="23"/>
        <v>0.47500000000000003</v>
      </c>
      <c r="AE266" s="1">
        <v>27</v>
      </c>
      <c r="AF266" s="1">
        <v>10</v>
      </c>
      <c r="AG266" s="1">
        <v>4</v>
      </c>
    </row>
    <row r="267" spans="28:33" x14ac:dyDescent="0.3">
      <c r="AB267" s="3">
        <v>0.47569444444444398</v>
      </c>
      <c r="AC267" s="3" t="str">
        <f t="shared" si="22"/>
        <v>11:25</v>
      </c>
      <c r="AD267" s="3">
        <f t="shared" si="23"/>
        <v>0.47569444444444442</v>
      </c>
      <c r="AE267" s="1">
        <v>27</v>
      </c>
      <c r="AF267" s="1">
        <v>10</v>
      </c>
      <c r="AG267" s="1">
        <v>5</v>
      </c>
    </row>
    <row r="268" spans="28:33" x14ac:dyDescent="0.3">
      <c r="AB268" s="3">
        <v>0.47638888888888897</v>
      </c>
      <c r="AC268" s="3" t="str">
        <f t="shared" si="22"/>
        <v>11:26</v>
      </c>
      <c r="AD268" s="3">
        <f t="shared" si="23"/>
        <v>0.47638888888888892</v>
      </c>
      <c r="AE268" s="1">
        <v>27</v>
      </c>
      <c r="AF268" s="1">
        <v>10</v>
      </c>
      <c r="AG268" s="1">
        <v>6</v>
      </c>
    </row>
    <row r="269" spans="28:33" x14ac:dyDescent="0.3">
      <c r="AB269" s="3">
        <v>0.47708333333333303</v>
      </c>
      <c r="AC269" s="3" t="str">
        <f t="shared" si="22"/>
        <v>11:27</v>
      </c>
      <c r="AD269" s="3">
        <f t="shared" si="23"/>
        <v>0.4770833333333333</v>
      </c>
      <c r="AE269" s="1">
        <v>27</v>
      </c>
      <c r="AF269" s="1">
        <v>10</v>
      </c>
      <c r="AG269" s="1">
        <v>7</v>
      </c>
    </row>
    <row r="270" spans="28:33" x14ac:dyDescent="0.3">
      <c r="AB270" s="3">
        <v>0.47777777777777702</v>
      </c>
      <c r="AC270" s="3" t="str">
        <f t="shared" si="22"/>
        <v>11:28</v>
      </c>
      <c r="AD270" s="3">
        <f t="shared" si="23"/>
        <v>0.4777777777777778</v>
      </c>
      <c r="AE270" s="1">
        <v>27</v>
      </c>
      <c r="AF270" s="1">
        <v>10</v>
      </c>
      <c r="AG270" s="1">
        <v>8</v>
      </c>
    </row>
    <row r="271" spans="28:33" x14ac:dyDescent="0.3">
      <c r="AB271" s="3">
        <v>0.47847222222222202</v>
      </c>
      <c r="AC271" s="3" t="str">
        <f t="shared" si="22"/>
        <v>11:29</v>
      </c>
      <c r="AD271" s="3">
        <f t="shared" si="23"/>
        <v>0.47847222222222219</v>
      </c>
      <c r="AE271" s="1">
        <v>27</v>
      </c>
      <c r="AF271" s="1">
        <v>10</v>
      </c>
      <c r="AG271" s="1">
        <v>9</v>
      </c>
    </row>
    <row r="272" spans="28:33" x14ac:dyDescent="0.3">
      <c r="AB272" s="3">
        <v>0.47916666666666602</v>
      </c>
      <c r="AC272" s="3" t="str">
        <f t="shared" si="22"/>
        <v>11:30</v>
      </c>
      <c r="AD272" s="3">
        <f t="shared" si="23"/>
        <v>0.47916666666666669</v>
      </c>
      <c r="AE272" s="1">
        <v>28</v>
      </c>
      <c r="AF272" s="1">
        <v>10</v>
      </c>
      <c r="AG272" s="1">
        <v>0</v>
      </c>
    </row>
    <row r="273" spans="28:33" x14ac:dyDescent="0.3">
      <c r="AB273" s="3">
        <v>0.47986111111111102</v>
      </c>
      <c r="AC273" s="3" t="str">
        <f t="shared" si="22"/>
        <v>11:31</v>
      </c>
      <c r="AD273" s="3">
        <f t="shared" si="23"/>
        <v>0.47986111111111113</v>
      </c>
      <c r="AE273" s="1">
        <v>28</v>
      </c>
      <c r="AF273" s="1">
        <v>10</v>
      </c>
      <c r="AG273" s="1">
        <v>1</v>
      </c>
    </row>
    <row r="274" spans="28:33" x14ac:dyDescent="0.3">
      <c r="AB274" s="3">
        <v>0.48055555555555501</v>
      </c>
      <c r="AC274" s="3" t="str">
        <f t="shared" si="22"/>
        <v>11:32</v>
      </c>
      <c r="AD274" s="3">
        <f t="shared" si="23"/>
        <v>0.48055555555555557</v>
      </c>
      <c r="AE274" s="1">
        <v>28</v>
      </c>
      <c r="AF274" s="1">
        <v>10</v>
      </c>
      <c r="AG274" s="1">
        <v>2</v>
      </c>
    </row>
    <row r="275" spans="28:33" x14ac:dyDescent="0.3">
      <c r="AB275" s="3">
        <v>0.48125000000000001</v>
      </c>
      <c r="AC275" s="3" t="str">
        <f t="shared" si="22"/>
        <v>11:33</v>
      </c>
      <c r="AD275" s="3">
        <f t="shared" si="23"/>
        <v>0.48125000000000001</v>
      </c>
      <c r="AE275" s="1">
        <v>28</v>
      </c>
      <c r="AF275" s="1">
        <v>10</v>
      </c>
      <c r="AG275" s="1">
        <v>3</v>
      </c>
    </row>
    <row r="276" spans="28:33" x14ac:dyDescent="0.3">
      <c r="AB276" s="3">
        <v>0.48194444444444401</v>
      </c>
      <c r="AC276" s="3" t="str">
        <f t="shared" si="22"/>
        <v>11:34</v>
      </c>
      <c r="AD276" s="3">
        <f t="shared" si="23"/>
        <v>0.48194444444444445</v>
      </c>
      <c r="AE276" s="1">
        <v>28</v>
      </c>
      <c r="AF276" s="1">
        <v>10</v>
      </c>
      <c r="AG276" s="1">
        <v>4</v>
      </c>
    </row>
    <row r="277" spans="28:33" x14ac:dyDescent="0.3">
      <c r="AB277" s="3">
        <v>0.48263888888888901</v>
      </c>
      <c r="AC277" s="3" t="str">
        <f t="shared" si="22"/>
        <v>11:35</v>
      </c>
      <c r="AD277" s="3">
        <f t="shared" si="23"/>
        <v>0.4826388888888889</v>
      </c>
      <c r="AE277" s="1">
        <v>28</v>
      </c>
      <c r="AF277" s="1">
        <v>10</v>
      </c>
      <c r="AG277" s="1">
        <v>5</v>
      </c>
    </row>
    <row r="278" spans="28:33" x14ac:dyDescent="0.3">
      <c r="AB278" s="3">
        <v>0.483333333333333</v>
      </c>
      <c r="AC278" s="3" t="str">
        <f t="shared" si="22"/>
        <v>11:36</v>
      </c>
      <c r="AD278" s="3">
        <f t="shared" si="23"/>
        <v>0.48333333333333334</v>
      </c>
      <c r="AE278" s="1">
        <v>28</v>
      </c>
      <c r="AF278" s="1">
        <v>10</v>
      </c>
      <c r="AG278" s="1">
        <v>6</v>
      </c>
    </row>
    <row r="279" spans="28:33" x14ac:dyDescent="0.3">
      <c r="AB279" s="3">
        <v>0.484027777777777</v>
      </c>
      <c r="AC279" s="3" t="str">
        <f t="shared" si="22"/>
        <v>11:37</v>
      </c>
      <c r="AD279" s="3">
        <f t="shared" si="23"/>
        <v>0.48402777777777778</v>
      </c>
      <c r="AE279" s="1">
        <v>28</v>
      </c>
      <c r="AF279" s="1">
        <v>10</v>
      </c>
      <c r="AG279" s="1">
        <v>7</v>
      </c>
    </row>
    <row r="280" spans="28:33" x14ac:dyDescent="0.3">
      <c r="AB280" s="3">
        <v>0.484722222222222</v>
      </c>
      <c r="AC280" s="3" t="str">
        <f t="shared" si="22"/>
        <v>11:38</v>
      </c>
      <c r="AD280" s="3">
        <f t="shared" si="23"/>
        <v>0.48472222222222222</v>
      </c>
      <c r="AE280" s="1">
        <v>28</v>
      </c>
      <c r="AF280" s="1">
        <v>10</v>
      </c>
      <c r="AG280" s="1">
        <v>8</v>
      </c>
    </row>
    <row r="281" spans="28:33" x14ac:dyDescent="0.3">
      <c r="AB281" s="3">
        <v>0.485416666666666</v>
      </c>
      <c r="AC281" s="3" t="str">
        <f t="shared" si="22"/>
        <v>11:39</v>
      </c>
      <c r="AD281" s="3">
        <f t="shared" si="23"/>
        <v>0.48541666666666666</v>
      </c>
      <c r="AE281" s="1">
        <v>28</v>
      </c>
      <c r="AF281" s="1">
        <v>10</v>
      </c>
      <c r="AG281" s="1">
        <v>9</v>
      </c>
    </row>
    <row r="282" spans="28:33" x14ac:dyDescent="0.3">
      <c r="AB282" s="3">
        <v>0.48611111111111099</v>
      </c>
      <c r="AC282" s="3" t="str">
        <f t="shared" si="22"/>
        <v>11:40</v>
      </c>
      <c r="AD282" s="3">
        <f t="shared" si="23"/>
        <v>0.4861111111111111</v>
      </c>
      <c r="AE282" s="1">
        <v>29</v>
      </c>
      <c r="AF282" s="1">
        <v>10</v>
      </c>
      <c r="AG282" s="1">
        <v>0</v>
      </c>
    </row>
    <row r="283" spans="28:33" x14ac:dyDescent="0.3">
      <c r="AB283" s="3">
        <v>0.48680555555555499</v>
      </c>
      <c r="AC283" s="3" t="str">
        <f t="shared" si="22"/>
        <v>11:41</v>
      </c>
      <c r="AD283" s="3">
        <f t="shared" si="23"/>
        <v>0.48680555555555555</v>
      </c>
      <c r="AE283" s="1">
        <v>29</v>
      </c>
      <c r="AF283" s="1">
        <v>10</v>
      </c>
      <c r="AG283" s="1">
        <v>1</v>
      </c>
    </row>
    <row r="284" spans="28:33" x14ac:dyDescent="0.3">
      <c r="AB284" s="3">
        <v>0.48749999999999999</v>
      </c>
      <c r="AC284" s="3" t="str">
        <f t="shared" si="22"/>
        <v>11:42</v>
      </c>
      <c r="AD284" s="3">
        <f t="shared" si="23"/>
        <v>0.48749999999999999</v>
      </c>
      <c r="AE284" s="1">
        <v>29</v>
      </c>
      <c r="AF284" s="1">
        <v>10</v>
      </c>
      <c r="AG284" s="1">
        <v>2</v>
      </c>
    </row>
    <row r="285" spans="28:33" x14ac:dyDescent="0.3">
      <c r="AB285" s="3">
        <v>0.48819444444444399</v>
      </c>
      <c r="AC285" s="3" t="str">
        <f t="shared" si="22"/>
        <v>11:43</v>
      </c>
      <c r="AD285" s="3">
        <f t="shared" si="23"/>
        <v>0.48819444444444443</v>
      </c>
      <c r="AE285" s="1">
        <v>29</v>
      </c>
      <c r="AF285" s="1">
        <v>10</v>
      </c>
      <c r="AG285" s="1">
        <v>3</v>
      </c>
    </row>
    <row r="286" spans="28:33" x14ac:dyDescent="0.3">
      <c r="AB286" s="3">
        <v>0.48888888888888898</v>
      </c>
      <c r="AC286" s="3" t="str">
        <f t="shared" si="22"/>
        <v>11:44</v>
      </c>
      <c r="AD286" s="3">
        <f t="shared" si="23"/>
        <v>0.48888888888888887</v>
      </c>
      <c r="AE286" s="1">
        <v>29</v>
      </c>
      <c r="AF286" s="1">
        <v>10</v>
      </c>
      <c r="AG286" s="1">
        <v>4</v>
      </c>
    </row>
    <row r="287" spans="28:33" x14ac:dyDescent="0.3">
      <c r="AB287" s="3">
        <v>0.48958333333333298</v>
      </c>
      <c r="AC287" s="3" t="str">
        <f t="shared" si="22"/>
        <v>11:45</v>
      </c>
      <c r="AD287" s="3">
        <f t="shared" si="23"/>
        <v>0.48958333333333331</v>
      </c>
      <c r="AE287" s="1">
        <v>29</v>
      </c>
      <c r="AF287" s="1">
        <v>10</v>
      </c>
      <c r="AG287" s="1">
        <v>5</v>
      </c>
    </row>
    <row r="288" spans="28:33" x14ac:dyDescent="0.3">
      <c r="AB288" s="3">
        <v>0.49027777777777698</v>
      </c>
      <c r="AC288" s="3" t="str">
        <f t="shared" si="22"/>
        <v>11:46</v>
      </c>
      <c r="AD288" s="3">
        <f t="shared" si="23"/>
        <v>0.49027777777777781</v>
      </c>
      <c r="AE288" s="1">
        <v>29</v>
      </c>
      <c r="AF288" s="1">
        <v>10</v>
      </c>
      <c r="AG288" s="1">
        <v>6</v>
      </c>
    </row>
    <row r="289" spans="28:33" x14ac:dyDescent="0.3">
      <c r="AB289" s="3">
        <v>0.49097222222222198</v>
      </c>
      <c r="AC289" s="3" t="str">
        <f t="shared" si="22"/>
        <v>11:47</v>
      </c>
      <c r="AD289" s="3">
        <f t="shared" si="23"/>
        <v>0.4909722222222222</v>
      </c>
      <c r="AE289" s="1">
        <v>29</v>
      </c>
      <c r="AF289" s="1">
        <v>10</v>
      </c>
      <c r="AG289" s="1">
        <v>7</v>
      </c>
    </row>
    <row r="290" spans="28:33" x14ac:dyDescent="0.3">
      <c r="AB290" s="3">
        <v>0.49166666666666597</v>
      </c>
      <c r="AC290" s="3" t="str">
        <f t="shared" si="22"/>
        <v>11:48</v>
      </c>
      <c r="AD290" s="3">
        <f t="shared" si="23"/>
        <v>0.4916666666666667</v>
      </c>
      <c r="AE290" s="1">
        <v>29</v>
      </c>
      <c r="AF290" s="1">
        <v>10</v>
      </c>
      <c r="AG290" s="1">
        <v>8</v>
      </c>
    </row>
    <row r="291" spans="28:33" x14ac:dyDescent="0.3">
      <c r="AB291" s="3">
        <v>0.49236111111111103</v>
      </c>
      <c r="AC291" s="3" t="str">
        <f t="shared" si="22"/>
        <v>11:49</v>
      </c>
      <c r="AD291" s="3">
        <f t="shared" si="23"/>
        <v>0.49236111111111108</v>
      </c>
      <c r="AE291" s="1">
        <v>29</v>
      </c>
      <c r="AF291" s="1">
        <v>10</v>
      </c>
      <c r="AG291" s="1">
        <v>9</v>
      </c>
    </row>
    <row r="292" spans="28:33" x14ac:dyDescent="0.3">
      <c r="AB292" s="3">
        <v>0.49305555555555503</v>
      </c>
      <c r="AC292" s="3" t="str">
        <f t="shared" si="22"/>
        <v>11:50</v>
      </c>
      <c r="AD292" s="3">
        <f t="shared" si="23"/>
        <v>0.49305555555555558</v>
      </c>
      <c r="AE292" s="1">
        <v>30</v>
      </c>
      <c r="AF292" s="1">
        <v>10</v>
      </c>
      <c r="AG292" s="1">
        <v>0</v>
      </c>
    </row>
    <row r="293" spans="28:33" x14ac:dyDescent="0.3">
      <c r="AB293" s="3">
        <v>0.49375000000000002</v>
      </c>
      <c r="AC293" s="3" t="str">
        <f t="shared" si="22"/>
        <v>11:51</v>
      </c>
      <c r="AD293" s="3">
        <f t="shared" si="23"/>
        <v>0.49374999999999997</v>
      </c>
      <c r="AE293" s="1">
        <v>30</v>
      </c>
      <c r="AF293" s="1">
        <v>10</v>
      </c>
      <c r="AG293" s="1">
        <v>1</v>
      </c>
    </row>
    <row r="294" spans="28:33" x14ac:dyDescent="0.3">
      <c r="AB294" s="3">
        <v>0.49444444444444402</v>
      </c>
      <c r="AC294" s="3" t="str">
        <f t="shared" si="22"/>
        <v>11:52</v>
      </c>
      <c r="AD294" s="3">
        <f t="shared" si="23"/>
        <v>0.49444444444444446</v>
      </c>
      <c r="AE294" s="1">
        <v>30</v>
      </c>
      <c r="AF294" s="1">
        <v>10</v>
      </c>
      <c r="AG294" s="1">
        <v>2</v>
      </c>
    </row>
    <row r="295" spans="28:33" x14ac:dyDescent="0.3">
      <c r="AB295" s="3">
        <v>0.49513888888888802</v>
      </c>
      <c r="AC295" s="3" t="str">
        <f t="shared" si="22"/>
        <v>11:53</v>
      </c>
      <c r="AD295" s="3">
        <f t="shared" si="23"/>
        <v>0.49513888888888885</v>
      </c>
      <c r="AE295" s="1">
        <v>30</v>
      </c>
      <c r="AF295" s="1">
        <v>10</v>
      </c>
      <c r="AG295" s="1">
        <v>3</v>
      </c>
    </row>
    <row r="296" spans="28:33" x14ac:dyDescent="0.3">
      <c r="AB296" s="3">
        <v>0.49583333333333302</v>
      </c>
      <c r="AC296" s="3" t="str">
        <f t="shared" si="22"/>
        <v>11:54</v>
      </c>
      <c r="AD296" s="3">
        <f t="shared" si="23"/>
        <v>0.49583333333333335</v>
      </c>
      <c r="AE296" s="1">
        <v>30</v>
      </c>
      <c r="AF296" s="1">
        <v>10</v>
      </c>
      <c r="AG296" s="1">
        <v>4</v>
      </c>
    </row>
    <row r="297" spans="28:33" x14ac:dyDescent="0.3">
      <c r="AB297" s="3">
        <v>0.49652777777777701</v>
      </c>
      <c r="AC297" s="3" t="str">
        <f t="shared" si="22"/>
        <v>11:55</v>
      </c>
      <c r="AD297" s="3">
        <f t="shared" si="23"/>
        <v>0.49652777777777773</v>
      </c>
      <c r="AE297" s="1">
        <v>30</v>
      </c>
      <c r="AF297" s="1">
        <v>10</v>
      </c>
      <c r="AG297" s="1">
        <v>5</v>
      </c>
    </row>
    <row r="298" spans="28:33" x14ac:dyDescent="0.3">
      <c r="AB298" s="3">
        <v>0.49722222222222201</v>
      </c>
      <c r="AC298" s="3" t="str">
        <f t="shared" si="22"/>
        <v>11:56</v>
      </c>
      <c r="AD298" s="3">
        <f t="shared" si="23"/>
        <v>0.49722222222222223</v>
      </c>
      <c r="AE298" s="1">
        <v>30</v>
      </c>
      <c r="AF298" s="1">
        <v>10</v>
      </c>
      <c r="AG298" s="1">
        <v>6</v>
      </c>
    </row>
    <row r="299" spans="28:33" x14ac:dyDescent="0.3">
      <c r="AB299" s="3">
        <v>0.49791666666666601</v>
      </c>
      <c r="AC299" s="3" t="str">
        <f t="shared" si="22"/>
        <v>11:57</v>
      </c>
      <c r="AD299" s="3">
        <f t="shared" si="23"/>
        <v>0.49791666666666662</v>
      </c>
      <c r="AE299" s="1">
        <v>30</v>
      </c>
      <c r="AF299" s="1">
        <v>10</v>
      </c>
      <c r="AG299" s="1">
        <v>7</v>
      </c>
    </row>
    <row r="300" spans="28:33" x14ac:dyDescent="0.3">
      <c r="AB300" s="3">
        <v>0.49861111111111101</v>
      </c>
      <c r="AC300" s="3" t="str">
        <f t="shared" si="22"/>
        <v>11:58</v>
      </c>
      <c r="AD300" s="3">
        <f t="shared" si="23"/>
        <v>0.49861111111111112</v>
      </c>
      <c r="AE300" s="1">
        <v>30</v>
      </c>
      <c r="AF300" s="1">
        <v>10</v>
      </c>
      <c r="AG300" s="1">
        <v>8</v>
      </c>
    </row>
    <row r="301" spans="28:33" x14ac:dyDescent="0.3">
      <c r="AB301" s="3">
        <v>0.499305555555555</v>
      </c>
      <c r="AC301" s="3" t="str">
        <f t="shared" si="22"/>
        <v>11:59</v>
      </c>
      <c r="AD301" s="3">
        <f t="shared" si="23"/>
        <v>0.4993055555555555</v>
      </c>
      <c r="AE301" s="1">
        <v>30</v>
      </c>
      <c r="AF301" s="1">
        <v>10</v>
      </c>
      <c r="AG301" s="1">
        <v>9</v>
      </c>
    </row>
    <row r="302" spans="28:33" x14ac:dyDescent="0.3">
      <c r="AB302" s="3">
        <v>0.5</v>
      </c>
      <c r="AC302" s="3" t="str">
        <f t="shared" si="22"/>
        <v>12:00</v>
      </c>
      <c r="AD302" s="3">
        <f t="shared" si="23"/>
        <v>0.5</v>
      </c>
      <c r="AE302" s="1">
        <v>31</v>
      </c>
      <c r="AF302" s="1">
        <v>10</v>
      </c>
      <c r="AG302" s="1">
        <v>0</v>
      </c>
    </row>
    <row r="303" spans="28:33" x14ac:dyDescent="0.3">
      <c r="AB303" s="3">
        <v>0.500694444444444</v>
      </c>
      <c r="AC303" s="3" t="str">
        <f t="shared" si="22"/>
        <v>12:01</v>
      </c>
      <c r="AD303" s="3">
        <f t="shared" si="23"/>
        <v>0.50069444444444444</v>
      </c>
      <c r="AE303" s="1">
        <v>31</v>
      </c>
      <c r="AF303" s="1">
        <v>10</v>
      </c>
      <c r="AG303" s="1">
        <v>1</v>
      </c>
    </row>
    <row r="304" spans="28:33" x14ac:dyDescent="0.3">
      <c r="AB304" s="3">
        <v>0.501388888888888</v>
      </c>
      <c r="AC304" s="3" t="str">
        <f t="shared" si="22"/>
        <v>12:02</v>
      </c>
      <c r="AD304" s="3">
        <f t="shared" si="23"/>
        <v>0.50138888888888888</v>
      </c>
      <c r="AE304" s="1">
        <v>31</v>
      </c>
      <c r="AF304" s="1">
        <v>10</v>
      </c>
      <c r="AG304" s="1">
        <v>2</v>
      </c>
    </row>
    <row r="305" spans="28:33" x14ac:dyDescent="0.3">
      <c r="AB305" s="3">
        <v>0.50208333333333299</v>
      </c>
      <c r="AC305" s="3" t="str">
        <f t="shared" si="22"/>
        <v>12:03</v>
      </c>
      <c r="AD305" s="3">
        <f t="shared" si="23"/>
        <v>0.50208333333333333</v>
      </c>
      <c r="AE305" s="1">
        <v>31</v>
      </c>
      <c r="AF305" s="1">
        <v>10</v>
      </c>
      <c r="AG305" s="1">
        <v>3</v>
      </c>
    </row>
    <row r="306" spans="28:33" x14ac:dyDescent="0.3">
      <c r="AB306" s="3">
        <v>0.50277777777777699</v>
      </c>
      <c r="AC306" s="3" t="str">
        <f t="shared" si="22"/>
        <v>12:04</v>
      </c>
      <c r="AD306" s="3">
        <f t="shared" si="23"/>
        <v>0.50277777777777777</v>
      </c>
      <c r="AE306" s="1">
        <v>31</v>
      </c>
      <c r="AF306" s="1">
        <v>10</v>
      </c>
      <c r="AG306" s="1">
        <v>4</v>
      </c>
    </row>
    <row r="307" spans="28:33" x14ac:dyDescent="0.3">
      <c r="AB307" s="3">
        <v>0.50347222222222199</v>
      </c>
      <c r="AC307" s="3" t="str">
        <f t="shared" si="22"/>
        <v>12:05</v>
      </c>
      <c r="AD307" s="3">
        <f t="shared" si="23"/>
        <v>0.50347222222222221</v>
      </c>
      <c r="AE307" s="1">
        <v>31</v>
      </c>
      <c r="AF307" s="1">
        <v>10</v>
      </c>
      <c r="AG307" s="1">
        <v>5</v>
      </c>
    </row>
    <row r="308" spans="28:33" x14ac:dyDescent="0.3">
      <c r="AB308" s="3">
        <v>0.50416666666666599</v>
      </c>
      <c r="AC308" s="3" t="str">
        <f t="shared" si="22"/>
        <v>12:06</v>
      </c>
      <c r="AD308" s="3">
        <f t="shared" si="23"/>
        <v>0.50416666666666665</v>
      </c>
      <c r="AE308" s="1">
        <v>31</v>
      </c>
      <c r="AF308" s="1">
        <v>10</v>
      </c>
      <c r="AG308" s="1">
        <v>6</v>
      </c>
    </row>
    <row r="309" spans="28:33" x14ac:dyDescent="0.3">
      <c r="AB309" s="3">
        <v>0.50486111111111098</v>
      </c>
      <c r="AC309" s="3" t="str">
        <f t="shared" si="22"/>
        <v>12:07</v>
      </c>
      <c r="AD309" s="3">
        <f t="shared" si="23"/>
        <v>0.50486111111111109</v>
      </c>
      <c r="AE309" s="1">
        <v>31</v>
      </c>
      <c r="AF309" s="1">
        <v>10</v>
      </c>
      <c r="AG309" s="1">
        <v>7</v>
      </c>
    </row>
    <row r="310" spans="28:33" x14ac:dyDescent="0.3">
      <c r="AB310" s="3">
        <v>0.50555555555555498</v>
      </c>
      <c r="AC310" s="3" t="str">
        <f t="shared" si="22"/>
        <v>12:08</v>
      </c>
      <c r="AD310" s="3">
        <f t="shared" si="23"/>
        <v>0.50555555555555554</v>
      </c>
      <c r="AE310" s="1">
        <v>31</v>
      </c>
      <c r="AF310" s="1">
        <v>10</v>
      </c>
      <c r="AG310" s="1">
        <v>8</v>
      </c>
    </row>
    <row r="311" spans="28:33" x14ac:dyDescent="0.3">
      <c r="AB311" s="3">
        <v>0.50624999999999998</v>
      </c>
      <c r="AC311" s="3" t="str">
        <f t="shared" si="22"/>
        <v>12:09</v>
      </c>
      <c r="AD311" s="3">
        <f t="shared" si="23"/>
        <v>0.50624999999999998</v>
      </c>
      <c r="AE311" s="1">
        <v>31</v>
      </c>
      <c r="AF311" s="1">
        <v>10</v>
      </c>
      <c r="AG311" s="1">
        <v>9</v>
      </c>
    </row>
    <row r="312" spans="28:33" x14ac:dyDescent="0.3">
      <c r="AB312" s="3">
        <v>0.50694444444444398</v>
      </c>
      <c r="AC312" s="3" t="str">
        <f t="shared" si="22"/>
        <v>12:10</v>
      </c>
      <c r="AD312" s="3">
        <f t="shared" si="23"/>
        <v>0.50694444444444442</v>
      </c>
      <c r="AE312" s="1">
        <v>32</v>
      </c>
      <c r="AF312" s="1">
        <v>10</v>
      </c>
      <c r="AG312" s="1">
        <v>0</v>
      </c>
    </row>
    <row r="313" spans="28:33" x14ac:dyDescent="0.3">
      <c r="AB313" s="3">
        <v>0.50763888888888797</v>
      </c>
      <c r="AC313" s="3" t="str">
        <f t="shared" si="22"/>
        <v>12:11</v>
      </c>
      <c r="AD313" s="3">
        <f t="shared" si="23"/>
        <v>0.50763888888888886</v>
      </c>
      <c r="AE313" s="1">
        <v>32</v>
      </c>
      <c r="AF313" s="1">
        <v>10</v>
      </c>
      <c r="AG313" s="1">
        <v>1</v>
      </c>
    </row>
    <row r="314" spans="28:33" x14ac:dyDescent="0.3">
      <c r="AB314" s="3">
        <v>0.50833333333333297</v>
      </c>
      <c r="AC314" s="3" t="str">
        <f t="shared" si="22"/>
        <v>12:12</v>
      </c>
      <c r="AD314" s="3">
        <f t="shared" si="23"/>
        <v>0.5083333333333333</v>
      </c>
      <c r="AE314" s="1">
        <v>32</v>
      </c>
      <c r="AF314" s="1">
        <v>10</v>
      </c>
      <c r="AG314" s="1">
        <v>2</v>
      </c>
    </row>
    <row r="315" spans="28:33" x14ac:dyDescent="0.3">
      <c r="AB315" s="3">
        <v>0.50902777777777697</v>
      </c>
      <c r="AC315" s="3" t="str">
        <f t="shared" si="22"/>
        <v>12:13</v>
      </c>
      <c r="AD315" s="3">
        <f t="shared" si="23"/>
        <v>0.50902777777777775</v>
      </c>
      <c r="AE315" s="1">
        <v>32</v>
      </c>
      <c r="AF315" s="1">
        <v>10</v>
      </c>
      <c r="AG315" s="1">
        <v>3</v>
      </c>
    </row>
    <row r="316" spans="28:33" x14ac:dyDescent="0.3">
      <c r="AB316" s="3">
        <v>0.50972222222222197</v>
      </c>
      <c r="AC316" s="3" t="str">
        <f t="shared" si="22"/>
        <v>12:14</v>
      </c>
      <c r="AD316" s="3">
        <f t="shared" si="23"/>
        <v>0.50972222222222219</v>
      </c>
      <c r="AE316" s="1">
        <v>32</v>
      </c>
      <c r="AF316" s="1">
        <v>10</v>
      </c>
      <c r="AG316" s="1">
        <v>4</v>
      </c>
    </row>
    <row r="317" spans="28:33" x14ac:dyDescent="0.3">
      <c r="AB317" s="3">
        <v>0.51041666666666596</v>
      </c>
      <c r="AC317" s="3" t="str">
        <f t="shared" si="22"/>
        <v>12:15</v>
      </c>
      <c r="AD317" s="3">
        <f t="shared" si="23"/>
        <v>0.51041666666666663</v>
      </c>
      <c r="AE317" s="1">
        <v>32</v>
      </c>
      <c r="AF317" s="1">
        <v>10</v>
      </c>
      <c r="AG317" s="1">
        <v>5</v>
      </c>
    </row>
    <row r="318" spans="28:33" x14ac:dyDescent="0.3">
      <c r="AB318" s="3">
        <v>0.51111111111111096</v>
      </c>
      <c r="AC318" s="3" t="str">
        <f t="shared" si="22"/>
        <v>12:16</v>
      </c>
      <c r="AD318" s="3">
        <f t="shared" si="23"/>
        <v>0.51111111111111118</v>
      </c>
      <c r="AE318" s="1">
        <v>32</v>
      </c>
      <c r="AF318" s="1">
        <v>10</v>
      </c>
      <c r="AG318" s="1">
        <v>6</v>
      </c>
    </row>
    <row r="319" spans="28:33" x14ac:dyDescent="0.3">
      <c r="AB319" s="3">
        <v>0.51180555555555496</v>
      </c>
      <c r="AC319" s="3" t="str">
        <f t="shared" si="22"/>
        <v>12:17</v>
      </c>
      <c r="AD319" s="3">
        <f t="shared" si="23"/>
        <v>0.51180555555555551</v>
      </c>
      <c r="AE319" s="1">
        <v>32</v>
      </c>
      <c r="AF319" s="1">
        <v>10</v>
      </c>
      <c r="AG319" s="1">
        <v>7</v>
      </c>
    </row>
    <row r="320" spans="28:33" x14ac:dyDescent="0.3">
      <c r="AB320" s="3">
        <v>0.51249999999999996</v>
      </c>
      <c r="AC320" s="3" t="str">
        <f t="shared" si="22"/>
        <v>12:18</v>
      </c>
      <c r="AD320" s="3">
        <f t="shared" si="23"/>
        <v>0.51250000000000007</v>
      </c>
      <c r="AE320" s="1">
        <v>32</v>
      </c>
      <c r="AF320" s="1">
        <v>10</v>
      </c>
      <c r="AG320" s="1">
        <v>8</v>
      </c>
    </row>
    <row r="321" spans="28:33" x14ac:dyDescent="0.3">
      <c r="AB321" s="3">
        <v>0.51319444444444395</v>
      </c>
      <c r="AC321" s="3" t="str">
        <f t="shared" si="22"/>
        <v>12:19</v>
      </c>
      <c r="AD321" s="3">
        <f t="shared" si="23"/>
        <v>0.5131944444444444</v>
      </c>
      <c r="AE321" s="1">
        <v>32</v>
      </c>
      <c r="AF321" s="1">
        <v>10</v>
      </c>
      <c r="AG321" s="1">
        <v>9</v>
      </c>
    </row>
    <row r="322" spans="28:33" x14ac:dyDescent="0.3">
      <c r="AB322" s="3">
        <v>0.51388888888888795</v>
      </c>
      <c r="AC322" s="3" t="str">
        <f t="shared" si="22"/>
        <v>12:20</v>
      </c>
      <c r="AD322" s="3">
        <f t="shared" si="23"/>
        <v>0.51388888888888895</v>
      </c>
      <c r="AE322" s="1">
        <v>33</v>
      </c>
      <c r="AF322" s="1">
        <v>10</v>
      </c>
      <c r="AG322" s="1">
        <v>0</v>
      </c>
    </row>
    <row r="323" spans="28:33" x14ac:dyDescent="0.3">
      <c r="AB323" s="3">
        <v>0.51458333333333295</v>
      </c>
      <c r="AC323" s="3" t="str">
        <f t="shared" ref="AC323:AC386" si="24">TEXT(AB323,"hh:mm")</f>
        <v>12:21</v>
      </c>
      <c r="AD323" s="3">
        <f t="shared" ref="AD323:AD386" si="25">VALUE(AC323)</f>
        <v>0.51458333333333328</v>
      </c>
      <c r="AE323" s="1">
        <v>33</v>
      </c>
      <c r="AF323" s="1">
        <v>10</v>
      </c>
      <c r="AG323" s="1">
        <v>1</v>
      </c>
    </row>
    <row r="324" spans="28:33" x14ac:dyDescent="0.3">
      <c r="AB324" s="3">
        <v>0.51527777777777695</v>
      </c>
      <c r="AC324" s="3" t="str">
        <f t="shared" si="24"/>
        <v>12:22</v>
      </c>
      <c r="AD324" s="3">
        <f t="shared" si="25"/>
        <v>0.51527777777777783</v>
      </c>
      <c r="AE324" s="1">
        <v>33</v>
      </c>
      <c r="AF324" s="1">
        <v>10</v>
      </c>
      <c r="AG324" s="1">
        <v>2</v>
      </c>
    </row>
    <row r="325" spans="28:33" x14ac:dyDescent="0.3">
      <c r="AB325" s="3">
        <v>0.51597222222222205</v>
      </c>
      <c r="AC325" s="3" t="str">
        <f t="shared" si="24"/>
        <v>12:23</v>
      </c>
      <c r="AD325" s="3">
        <f t="shared" si="25"/>
        <v>0.51597222222222217</v>
      </c>
      <c r="AE325" s="1">
        <v>33</v>
      </c>
      <c r="AF325" s="1">
        <v>10</v>
      </c>
      <c r="AG325" s="1">
        <v>3</v>
      </c>
    </row>
    <row r="326" spans="28:33" x14ac:dyDescent="0.3">
      <c r="AB326" s="3">
        <v>0.51666666666666605</v>
      </c>
      <c r="AC326" s="3" t="str">
        <f t="shared" si="24"/>
        <v>12:24</v>
      </c>
      <c r="AD326" s="3">
        <f t="shared" si="25"/>
        <v>0.51666666666666672</v>
      </c>
      <c r="AE326" s="1">
        <v>33</v>
      </c>
      <c r="AF326" s="1">
        <v>10</v>
      </c>
      <c r="AG326" s="1">
        <v>4</v>
      </c>
    </row>
    <row r="327" spans="28:33" x14ac:dyDescent="0.3">
      <c r="AB327" s="3">
        <v>0.51736111111111105</v>
      </c>
      <c r="AC327" s="3" t="str">
        <f t="shared" si="24"/>
        <v>12:25</v>
      </c>
      <c r="AD327" s="3">
        <f t="shared" si="25"/>
        <v>0.51736111111111105</v>
      </c>
      <c r="AE327" s="1">
        <v>33</v>
      </c>
      <c r="AF327" s="1">
        <v>10</v>
      </c>
      <c r="AG327" s="1">
        <v>5</v>
      </c>
    </row>
    <row r="328" spans="28:33" x14ac:dyDescent="0.3">
      <c r="AB328" s="3">
        <v>0.51805555555555505</v>
      </c>
      <c r="AC328" s="3" t="str">
        <f t="shared" si="24"/>
        <v>12:26</v>
      </c>
      <c r="AD328" s="3">
        <f t="shared" si="25"/>
        <v>0.5180555555555556</v>
      </c>
      <c r="AE328" s="1">
        <v>33</v>
      </c>
      <c r="AF328" s="1">
        <v>10</v>
      </c>
      <c r="AG328" s="1">
        <v>6</v>
      </c>
    </row>
    <row r="329" spans="28:33" x14ac:dyDescent="0.3">
      <c r="AB329" s="3">
        <v>0.51875000000000004</v>
      </c>
      <c r="AC329" s="3" t="str">
        <f t="shared" si="24"/>
        <v>12:27</v>
      </c>
      <c r="AD329" s="3">
        <f t="shared" si="25"/>
        <v>0.51874999999999993</v>
      </c>
      <c r="AE329" s="1">
        <v>33</v>
      </c>
      <c r="AF329" s="1">
        <v>10</v>
      </c>
      <c r="AG329" s="1">
        <v>7</v>
      </c>
    </row>
    <row r="330" spans="28:33" x14ac:dyDescent="0.3">
      <c r="AB330" s="3">
        <v>0.51944444444444404</v>
      </c>
      <c r="AC330" s="3" t="str">
        <f t="shared" si="24"/>
        <v>12:28</v>
      </c>
      <c r="AD330" s="3">
        <f t="shared" si="25"/>
        <v>0.51944444444444449</v>
      </c>
      <c r="AE330" s="1">
        <v>33</v>
      </c>
      <c r="AF330" s="1">
        <v>10</v>
      </c>
      <c r="AG330" s="1">
        <v>8</v>
      </c>
    </row>
    <row r="331" spans="28:33" x14ac:dyDescent="0.3">
      <c r="AB331" s="3">
        <v>0.52013888888888804</v>
      </c>
      <c r="AC331" s="3" t="str">
        <f t="shared" si="24"/>
        <v>12:29</v>
      </c>
      <c r="AD331" s="3">
        <f t="shared" si="25"/>
        <v>0.52013888888888882</v>
      </c>
      <c r="AE331" s="1">
        <v>33</v>
      </c>
      <c r="AF331" s="1">
        <v>10</v>
      </c>
      <c r="AG331" s="1">
        <v>9</v>
      </c>
    </row>
    <row r="332" spans="28:33" x14ac:dyDescent="0.3">
      <c r="AB332" s="3">
        <v>0.52083333333333304</v>
      </c>
      <c r="AC332" s="3" t="str">
        <f t="shared" si="24"/>
        <v>12:30</v>
      </c>
      <c r="AD332" s="3">
        <f t="shared" si="25"/>
        <v>0.52083333333333337</v>
      </c>
      <c r="AE332" s="1">
        <v>34</v>
      </c>
      <c r="AF332" s="1">
        <v>10</v>
      </c>
      <c r="AG332" s="1">
        <v>0</v>
      </c>
    </row>
    <row r="333" spans="28:33" x14ac:dyDescent="0.3">
      <c r="AB333" s="3">
        <v>0.52152777777777704</v>
      </c>
      <c r="AC333" s="3" t="str">
        <f t="shared" si="24"/>
        <v>12:31</v>
      </c>
      <c r="AD333" s="3">
        <f t="shared" si="25"/>
        <v>0.52152777777777781</v>
      </c>
      <c r="AE333" s="1">
        <v>34</v>
      </c>
      <c r="AF333" s="1">
        <v>10</v>
      </c>
      <c r="AG333" s="1">
        <v>1</v>
      </c>
    </row>
    <row r="334" spans="28:33" x14ac:dyDescent="0.3">
      <c r="AB334" s="3">
        <v>0.52222222222222203</v>
      </c>
      <c r="AC334" s="3" t="str">
        <f t="shared" si="24"/>
        <v>12:32</v>
      </c>
      <c r="AD334" s="3">
        <f t="shared" si="25"/>
        <v>0.52222222222222225</v>
      </c>
      <c r="AE334" s="1">
        <v>34</v>
      </c>
      <c r="AF334" s="1">
        <v>10</v>
      </c>
      <c r="AG334" s="1">
        <v>2</v>
      </c>
    </row>
    <row r="335" spans="28:33" x14ac:dyDescent="0.3">
      <c r="AB335" s="3">
        <v>0.52291666666666603</v>
      </c>
      <c r="AC335" s="3" t="str">
        <f t="shared" si="24"/>
        <v>12:33</v>
      </c>
      <c r="AD335" s="3">
        <f t="shared" si="25"/>
        <v>0.5229166666666667</v>
      </c>
      <c r="AE335" s="1">
        <v>34</v>
      </c>
      <c r="AF335" s="1">
        <v>10</v>
      </c>
      <c r="AG335" s="1">
        <v>3</v>
      </c>
    </row>
    <row r="336" spans="28:33" x14ac:dyDescent="0.3">
      <c r="AB336" s="3">
        <v>0.52361111111111103</v>
      </c>
      <c r="AC336" s="3" t="str">
        <f t="shared" si="24"/>
        <v>12:34</v>
      </c>
      <c r="AD336" s="3">
        <f t="shared" si="25"/>
        <v>0.52361111111111114</v>
      </c>
      <c r="AE336" s="1">
        <v>34</v>
      </c>
      <c r="AF336" s="1">
        <v>10</v>
      </c>
      <c r="AG336" s="1">
        <v>4</v>
      </c>
    </row>
    <row r="337" spans="28:33" x14ac:dyDescent="0.3">
      <c r="AB337" s="3">
        <v>0.52430555555555503</v>
      </c>
      <c r="AC337" s="3" t="str">
        <f t="shared" si="24"/>
        <v>12:35</v>
      </c>
      <c r="AD337" s="3">
        <f t="shared" si="25"/>
        <v>0.52430555555555558</v>
      </c>
      <c r="AE337" s="1">
        <v>34</v>
      </c>
      <c r="AF337" s="1">
        <v>10</v>
      </c>
      <c r="AG337" s="1">
        <v>5</v>
      </c>
    </row>
    <row r="338" spans="28:33" x14ac:dyDescent="0.3">
      <c r="AB338" s="3">
        <v>0.52500000000000002</v>
      </c>
      <c r="AC338" s="3" t="str">
        <f t="shared" si="24"/>
        <v>12:36</v>
      </c>
      <c r="AD338" s="3">
        <f t="shared" si="25"/>
        <v>0.52500000000000002</v>
      </c>
      <c r="AE338" s="1">
        <v>34</v>
      </c>
      <c r="AF338" s="1">
        <v>10</v>
      </c>
      <c r="AG338" s="1">
        <v>6</v>
      </c>
    </row>
    <row r="339" spans="28:33" x14ac:dyDescent="0.3">
      <c r="AB339" s="3">
        <v>0.52569444444444402</v>
      </c>
      <c r="AC339" s="3" t="str">
        <f t="shared" si="24"/>
        <v>12:37</v>
      </c>
      <c r="AD339" s="3">
        <f t="shared" si="25"/>
        <v>0.52569444444444446</v>
      </c>
      <c r="AE339" s="1">
        <v>34</v>
      </c>
      <c r="AF339" s="1">
        <v>10</v>
      </c>
      <c r="AG339" s="1">
        <v>7</v>
      </c>
    </row>
    <row r="340" spans="28:33" x14ac:dyDescent="0.3">
      <c r="AB340" s="3">
        <v>0.52638888888888802</v>
      </c>
      <c r="AC340" s="3" t="str">
        <f t="shared" si="24"/>
        <v>12:38</v>
      </c>
      <c r="AD340" s="3">
        <f t="shared" si="25"/>
        <v>0.52638888888888891</v>
      </c>
      <c r="AE340" s="1">
        <v>34</v>
      </c>
      <c r="AF340" s="1">
        <v>10</v>
      </c>
      <c r="AG340" s="1">
        <v>8</v>
      </c>
    </row>
    <row r="341" spans="28:33" x14ac:dyDescent="0.3">
      <c r="AB341" s="3">
        <v>0.52708333333333302</v>
      </c>
      <c r="AC341" s="3" t="str">
        <f t="shared" si="24"/>
        <v>12:39</v>
      </c>
      <c r="AD341" s="3">
        <f t="shared" si="25"/>
        <v>0.52708333333333335</v>
      </c>
      <c r="AE341" s="1">
        <v>34</v>
      </c>
      <c r="AF341" s="1">
        <v>10</v>
      </c>
      <c r="AG341" s="1">
        <v>9</v>
      </c>
    </row>
    <row r="342" spans="28:33" x14ac:dyDescent="0.3">
      <c r="AB342" s="3">
        <v>0.52777777777777701</v>
      </c>
      <c r="AC342" s="3" t="str">
        <f t="shared" si="24"/>
        <v>12:40</v>
      </c>
      <c r="AD342" s="3">
        <f t="shared" si="25"/>
        <v>0.52777777777777779</v>
      </c>
      <c r="AE342" s="1">
        <v>35</v>
      </c>
      <c r="AF342" s="1">
        <v>10</v>
      </c>
      <c r="AG342" s="1">
        <v>0</v>
      </c>
    </row>
    <row r="343" spans="28:33" x14ac:dyDescent="0.3">
      <c r="AB343" s="3">
        <v>0.52847222222222201</v>
      </c>
      <c r="AC343" s="3" t="str">
        <f t="shared" si="24"/>
        <v>12:41</v>
      </c>
      <c r="AD343" s="3">
        <f t="shared" si="25"/>
        <v>0.52847222222222223</v>
      </c>
      <c r="AE343" s="1">
        <v>35</v>
      </c>
      <c r="AF343" s="1">
        <v>10</v>
      </c>
      <c r="AG343" s="1">
        <v>1</v>
      </c>
    </row>
    <row r="344" spans="28:33" x14ac:dyDescent="0.3">
      <c r="AB344" s="3">
        <v>0.52916666666666601</v>
      </c>
      <c r="AC344" s="3" t="str">
        <f t="shared" si="24"/>
        <v>12:42</v>
      </c>
      <c r="AD344" s="3">
        <f t="shared" si="25"/>
        <v>0.52916666666666667</v>
      </c>
      <c r="AE344" s="1">
        <v>35</v>
      </c>
      <c r="AF344" s="1">
        <v>10</v>
      </c>
      <c r="AG344" s="1">
        <v>2</v>
      </c>
    </row>
    <row r="345" spans="28:33" x14ac:dyDescent="0.3">
      <c r="AB345" s="3">
        <v>0.52986111111111101</v>
      </c>
      <c r="AC345" s="3" t="str">
        <f t="shared" si="24"/>
        <v>12:43</v>
      </c>
      <c r="AD345" s="3">
        <f t="shared" si="25"/>
        <v>0.52986111111111112</v>
      </c>
      <c r="AE345" s="1">
        <v>35</v>
      </c>
      <c r="AF345" s="1">
        <v>10</v>
      </c>
      <c r="AG345" s="1">
        <v>3</v>
      </c>
    </row>
    <row r="346" spans="28:33" x14ac:dyDescent="0.3">
      <c r="AB346" s="3">
        <v>0.530555555555555</v>
      </c>
      <c r="AC346" s="3" t="str">
        <f t="shared" si="24"/>
        <v>12:44</v>
      </c>
      <c r="AD346" s="3">
        <f t="shared" si="25"/>
        <v>0.53055555555555556</v>
      </c>
      <c r="AE346" s="1">
        <v>35</v>
      </c>
      <c r="AF346" s="1">
        <v>10</v>
      </c>
      <c r="AG346" s="1">
        <v>4</v>
      </c>
    </row>
    <row r="347" spans="28:33" x14ac:dyDescent="0.3">
      <c r="AB347" s="3">
        <v>0.531249999999999</v>
      </c>
      <c r="AC347" s="3" t="str">
        <f t="shared" si="24"/>
        <v>12:45</v>
      </c>
      <c r="AD347" s="3">
        <f t="shared" si="25"/>
        <v>0.53125</v>
      </c>
      <c r="AE347" s="1">
        <v>35</v>
      </c>
      <c r="AF347" s="1">
        <v>10</v>
      </c>
      <c r="AG347" s="1">
        <v>5</v>
      </c>
    </row>
    <row r="348" spans="28:33" x14ac:dyDescent="0.3">
      <c r="AB348" s="3">
        <v>0.531944444444444</v>
      </c>
      <c r="AC348" s="3" t="str">
        <f t="shared" si="24"/>
        <v>12:46</v>
      </c>
      <c r="AD348" s="3">
        <f t="shared" si="25"/>
        <v>0.53194444444444444</v>
      </c>
      <c r="AE348" s="1">
        <v>35</v>
      </c>
      <c r="AF348" s="1">
        <v>10</v>
      </c>
      <c r="AG348" s="1">
        <v>6</v>
      </c>
    </row>
    <row r="349" spans="28:33" x14ac:dyDescent="0.3">
      <c r="AB349" s="3">
        <v>0.532638888888888</v>
      </c>
      <c r="AC349" s="3" t="str">
        <f t="shared" si="24"/>
        <v>12:47</v>
      </c>
      <c r="AD349" s="3">
        <f t="shared" si="25"/>
        <v>0.53263888888888888</v>
      </c>
      <c r="AE349" s="1">
        <v>35</v>
      </c>
      <c r="AF349" s="1">
        <v>10</v>
      </c>
      <c r="AG349" s="1">
        <v>7</v>
      </c>
    </row>
    <row r="350" spans="28:33" x14ac:dyDescent="0.3">
      <c r="AB350" s="3">
        <v>0.53333333333333299</v>
      </c>
      <c r="AC350" s="3" t="str">
        <f t="shared" si="24"/>
        <v>12:48</v>
      </c>
      <c r="AD350" s="3">
        <f t="shared" si="25"/>
        <v>0.53333333333333333</v>
      </c>
      <c r="AE350" s="1">
        <v>35</v>
      </c>
      <c r="AF350" s="1">
        <v>10</v>
      </c>
      <c r="AG350" s="1">
        <v>8</v>
      </c>
    </row>
    <row r="351" spans="28:33" x14ac:dyDescent="0.3">
      <c r="AB351" s="3">
        <v>0.53402777777777699</v>
      </c>
      <c r="AC351" s="3" t="str">
        <f t="shared" si="24"/>
        <v>12:49</v>
      </c>
      <c r="AD351" s="3">
        <f t="shared" si="25"/>
        <v>0.53402777777777777</v>
      </c>
      <c r="AE351" s="1">
        <v>35</v>
      </c>
      <c r="AF351" s="1">
        <v>10</v>
      </c>
      <c r="AG351" s="1">
        <v>9</v>
      </c>
    </row>
    <row r="352" spans="28:33" x14ac:dyDescent="0.3">
      <c r="AB352" s="3">
        <v>0.53472222222222199</v>
      </c>
      <c r="AC352" s="3" t="str">
        <f t="shared" si="24"/>
        <v>12:50</v>
      </c>
      <c r="AD352" s="3">
        <f t="shared" si="25"/>
        <v>0.53472222222222221</v>
      </c>
      <c r="AE352" s="1">
        <v>36</v>
      </c>
      <c r="AF352" s="1">
        <v>10</v>
      </c>
      <c r="AG352" s="1">
        <v>0</v>
      </c>
    </row>
    <row r="353" spans="28:33" x14ac:dyDescent="0.3">
      <c r="AB353" s="3">
        <v>0.53541666666666599</v>
      </c>
      <c r="AC353" s="3" t="str">
        <f t="shared" si="24"/>
        <v>12:51</v>
      </c>
      <c r="AD353" s="3">
        <f t="shared" si="25"/>
        <v>0.53541666666666665</v>
      </c>
      <c r="AE353" s="1">
        <v>36</v>
      </c>
      <c r="AF353" s="1">
        <v>10</v>
      </c>
      <c r="AG353" s="1">
        <v>1</v>
      </c>
    </row>
    <row r="354" spans="28:33" x14ac:dyDescent="0.3">
      <c r="AB354" s="3">
        <v>0.53611111111111098</v>
      </c>
      <c r="AC354" s="3" t="str">
        <f t="shared" si="24"/>
        <v>12:52</v>
      </c>
      <c r="AD354" s="3">
        <f t="shared" si="25"/>
        <v>0.53611111111111109</v>
      </c>
      <c r="AE354" s="1">
        <v>36</v>
      </c>
      <c r="AF354" s="1">
        <v>10</v>
      </c>
      <c r="AG354" s="1">
        <v>2</v>
      </c>
    </row>
    <row r="355" spans="28:33" x14ac:dyDescent="0.3">
      <c r="AB355" s="3">
        <v>0.53680555555555498</v>
      </c>
      <c r="AC355" s="3" t="str">
        <f t="shared" si="24"/>
        <v>12:53</v>
      </c>
      <c r="AD355" s="3">
        <f t="shared" si="25"/>
        <v>0.53680555555555554</v>
      </c>
      <c r="AE355" s="1">
        <v>36</v>
      </c>
      <c r="AF355" s="1">
        <v>10</v>
      </c>
      <c r="AG355" s="1">
        <v>3</v>
      </c>
    </row>
    <row r="356" spans="28:33" x14ac:dyDescent="0.3">
      <c r="AB356" s="3">
        <v>0.53749999999999898</v>
      </c>
      <c r="AC356" s="3" t="str">
        <f t="shared" si="24"/>
        <v>12:54</v>
      </c>
      <c r="AD356" s="3">
        <f t="shared" si="25"/>
        <v>0.53749999999999998</v>
      </c>
      <c r="AE356" s="1">
        <v>36</v>
      </c>
      <c r="AF356" s="1">
        <v>10</v>
      </c>
      <c r="AG356" s="1">
        <v>4</v>
      </c>
    </row>
    <row r="357" spans="28:33" x14ac:dyDescent="0.3">
      <c r="AB357" s="3">
        <v>0.53819444444444398</v>
      </c>
      <c r="AC357" s="3" t="str">
        <f t="shared" si="24"/>
        <v>12:55</v>
      </c>
      <c r="AD357" s="3">
        <f t="shared" si="25"/>
        <v>0.53819444444444442</v>
      </c>
      <c r="AE357" s="1">
        <v>36</v>
      </c>
      <c r="AF357" s="1">
        <v>10</v>
      </c>
      <c r="AG357" s="1">
        <v>5</v>
      </c>
    </row>
    <row r="358" spans="28:33" x14ac:dyDescent="0.3">
      <c r="AB358" s="3">
        <v>0.53888888888888797</v>
      </c>
      <c r="AC358" s="3" t="str">
        <f t="shared" si="24"/>
        <v>12:56</v>
      </c>
      <c r="AD358" s="3">
        <f t="shared" si="25"/>
        <v>0.53888888888888886</v>
      </c>
      <c r="AE358" s="1">
        <v>36</v>
      </c>
      <c r="AF358" s="1">
        <v>10</v>
      </c>
      <c r="AG358" s="1">
        <v>6</v>
      </c>
    </row>
    <row r="359" spans="28:33" x14ac:dyDescent="0.3">
      <c r="AB359" s="3">
        <v>0.53958333333333297</v>
      </c>
      <c r="AC359" s="3" t="str">
        <f t="shared" si="24"/>
        <v>12:57</v>
      </c>
      <c r="AD359" s="3">
        <f t="shared" si="25"/>
        <v>0.5395833333333333</v>
      </c>
      <c r="AE359" s="1">
        <v>36</v>
      </c>
      <c r="AF359" s="1">
        <v>10</v>
      </c>
      <c r="AG359" s="1">
        <v>7</v>
      </c>
    </row>
    <row r="360" spans="28:33" x14ac:dyDescent="0.3">
      <c r="AB360" s="3">
        <v>0.54027777777777697</v>
      </c>
      <c r="AC360" s="3" t="str">
        <f t="shared" si="24"/>
        <v>12:58</v>
      </c>
      <c r="AD360" s="3">
        <f t="shared" si="25"/>
        <v>0.54027777777777775</v>
      </c>
      <c r="AE360" s="1">
        <v>36</v>
      </c>
      <c r="AF360" s="1">
        <v>10</v>
      </c>
      <c r="AG360" s="1">
        <v>8</v>
      </c>
    </row>
    <row r="361" spans="28:33" x14ac:dyDescent="0.3">
      <c r="AB361" s="3">
        <v>0.54097222222222197</v>
      </c>
      <c r="AC361" s="3" t="str">
        <f t="shared" si="24"/>
        <v>12:59</v>
      </c>
      <c r="AD361" s="3">
        <f t="shared" si="25"/>
        <v>0.54097222222222219</v>
      </c>
      <c r="AE361" s="1">
        <v>36</v>
      </c>
      <c r="AF361" s="1">
        <v>10</v>
      </c>
      <c r="AG361" s="1">
        <v>9</v>
      </c>
    </row>
    <row r="362" spans="28:33" x14ac:dyDescent="0.3">
      <c r="AB362" s="3">
        <v>0.54166666666666596</v>
      </c>
      <c r="AC362" s="3" t="str">
        <f t="shared" si="24"/>
        <v>13:00</v>
      </c>
      <c r="AD362" s="3">
        <f t="shared" si="25"/>
        <v>0.54166666666666663</v>
      </c>
      <c r="AE362" s="1">
        <v>37</v>
      </c>
      <c r="AF362" s="1">
        <v>10</v>
      </c>
      <c r="AG362" s="1">
        <v>0</v>
      </c>
    </row>
    <row r="363" spans="28:33" x14ac:dyDescent="0.3">
      <c r="AB363" s="3">
        <v>0.54236111111111096</v>
      </c>
      <c r="AC363" s="3" t="str">
        <f t="shared" si="24"/>
        <v>13:01</v>
      </c>
      <c r="AD363" s="3">
        <f t="shared" si="25"/>
        <v>0.54236111111111118</v>
      </c>
      <c r="AE363" s="1">
        <v>37</v>
      </c>
      <c r="AF363" s="1">
        <v>10</v>
      </c>
      <c r="AG363" s="1">
        <v>1</v>
      </c>
    </row>
    <row r="364" spans="28:33" x14ac:dyDescent="0.3">
      <c r="AB364" s="3">
        <v>0.54305555555555496</v>
      </c>
      <c r="AC364" s="3" t="str">
        <f t="shared" si="24"/>
        <v>13:02</v>
      </c>
      <c r="AD364" s="3">
        <f t="shared" si="25"/>
        <v>0.54305555555555551</v>
      </c>
      <c r="AE364" s="1">
        <v>37</v>
      </c>
      <c r="AF364" s="1">
        <v>10</v>
      </c>
      <c r="AG364" s="1">
        <v>2</v>
      </c>
    </row>
    <row r="365" spans="28:33" x14ac:dyDescent="0.3">
      <c r="AB365" s="3">
        <v>0.54374999999999896</v>
      </c>
      <c r="AC365" s="3" t="str">
        <f t="shared" si="24"/>
        <v>13:03</v>
      </c>
      <c r="AD365" s="3">
        <f t="shared" si="25"/>
        <v>0.54375000000000007</v>
      </c>
      <c r="AE365" s="1">
        <v>37</v>
      </c>
      <c r="AF365" s="1">
        <v>10</v>
      </c>
      <c r="AG365" s="1">
        <v>3</v>
      </c>
    </row>
    <row r="366" spans="28:33" x14ac:dyDescent="0.3">
      <c r="AB366" s="3">
        <v>0.54444444444444395</v>
      </c>
      <c r="AC366" s="3" t="str">
        <f t="shared" si="24"/>
        <v>13:04</v>
      </c>
      <c r="AD366" s="3">
        <f t="shared" si="25"/>
        <v>0.5444444444444444</v>
      </c>
      <c r="AE366" s="1">
        <v>37</v>
      </c>
      <c r="AF366" s="1">
        <v>10</v>
      </c>
      <c r="AG366" s="1">
        <v>4</v>
      </c>
    </row>
    <row r="367" spans="28:33" x14ac:dyDescent="0.3">
      <c r="AB367" s="3">
        <v>0.54513888888888795</v>
      </c>
      <c r="AC367" s="3" t="str">
        <f t="shared" si="24"/>
        <v>13:05</v>
      </c>
      <c r="AD367" s="3">
        <f t="shared" si="25"/>
        <v>0.54513888888888895</v>
      </c>
      <c r="AE367" s="1">
        <v>37</v>
      </c>
      <c r="AF367" s="1">
        <v>10</v>
      </c>
      <c r="AG367" s="1">
        <v>5</v>
      </c>
    </row>
    <row r="368" spans="28:33" x14ac:dyDescent="0.3">
      <c r="AB368" s="3">
        <v>0.54583333333333295</v>
      </c>
      <c r="AC368" s="3" t="str">
        <f t="shared" si="24"/>
        <v>13:06</v>
      </c>
      <c r="AD368" s="3">
        <f t="shared" si="25"/>
        <v>0.54583333333333328</v>
      </c>
      <c r="AE368" s="1">
        <v>37</v>
      </c>
      <c r="AF368" s="1">
        <v>10</v>
      </c>
      <c r="AG368" s="1">
        <v>6</v>
      </c>
    </row>
    <row r="369" spans="28:33" x14ac:dyDescent="0.3">
      <c r="AB369" s="3">
        <v>0.54652777777777695</v>
      </c>
      <c r="AC369" s="3" t="str">
        <f t="shared" si="24"/>
        <v>13:07</v>
      </c>
      <c r="AD369" s="3">
        <f t="shared" si="25"/>
        <v>0.54652777777777783</v>
      </c>
      <c r="AE369" s="1">
        <v>37</v>
      </c>
      <c r="AF369" s="1">
        <v>10</v>
      </c>
      <c r="AG369" s="1">
        <v>7</v>
      </c>
    </row>
    <row r="370" spans="28:33" x14ac:dyDescent="0.3">
      <c r="AB370" s="3">
        <v>0.54722222222222205</v>
      </c>
      <c r="AC370" s="3" t="str">
        <f t="shared" si="24"/>
        <v>13:08</v>
      </c>
      <c r="AD370" s="3">
        <f t="shared" si="25"/>
        <v>0.54722222222222217</v>
      </c>
      <c r="AE370" s="1">
        <v>37</v>
      </c>
      <c r="AF370" s="1">
        <v>10</v>
      </c>
      <c r="AG370" s="1">
        <v>8</v>
      </c>
    </row>
    <row r="371" spans="28:33" x14ac:dyDescent="0.3">
      <c r="AB371" s="3">
        <v>0.54791666666666605</v>
      </c>
      <c r="AC371" s="3" t="str">
        <f t="shared" si="24"/>
        <v>13:09</v>
      </c>
      <c r="AD371" s="3">
        <f t="shared" si="25"/>
        <v>0.54791666666666672</v>
      </c>
      <c r="AE371" s="1">
        <v>37</v>
      </c>
      <c r="AF371" s="1">
        <v>10</v>
      </c>
      <c r="AG371" s="1">
        <v>9</v>
      </c>
    </row>
    <row r="372" spans="28:33" x14ac:dyDescent="0.3">
      <c r="AB372" s="3">
        <v>0.54861111111111105</v>
      </c>
      <c r="AC372" s="3" t="str">
        <f t="shared" si="24"/>
        <v>13:10</v>
      </c>
      <c r="AD372" s="3">
        <f t="shared" si="25"/>
        <v>0.54861111111111105</v>
      </c>
      <c r="AE372" s="1">
        <v>38</v>
      </c>
      <c r="AF372" s="1">
        <v>10</v>
      </c>
      <c r="AG372" s="1">
        <v>0</v>
      </c>
    </row>
    <row r="373" spans="28:33" x14ac:dyDescent="0.3">
      <c r="AB373" s="3">
        <v>0.54930555555555505</v>
      </c>
      <c r="AC373" s="3" t="str">
        <f t="shared" si="24"/>
        <v>13:11</v>
      </c>
      <c r="AD373" s="3">
        <f t="shared" si="25"/>
        <v>0.5493055555555556</v>
      </c>
      <c r="AE373" s="1">
        <v>38</v>
      </c>
      <c r="AF373" s="1">
        <v>10</v>
      </c>
      <c r="AG373" s="1">
        <v>1</v>
      </c>
    </row>
    <row r="374" spans="28:33" x14ac:dyDescent="0.3">
      <c r="AB374" s="3">
        <v>0.54999999999999905</v>
      </c>
      <c r="AC374" s="3" t="str">
        <f t="shared" si="24"/>
        <v>13:12</v>
      </c>
      <c r="AD374" s="3">
        <f t="shared" si="25"/>
        <v>0.54999999999999993</v>
      </c>
      <c r="AE374" s="1">
        <v>38</v>
      </c>
      <c r="AF374" s="1">
        <v>10</v>
      </c>
      <c r="AG374" s="1">
        <v>2</v>
      </c>
    </row>
    <row r="375" spans="28:33" x14ac:dyDescent="0.3">
      <c r="AB375" s="3">
        <v>0.55069444444444404</v>
      </c>
      <c r="AC375" s="3" t="str">
        <f t="shared" si="24"/>
        <v>13:13</v>
      </c>
      <c r="AD375" s="3">
        <f t="shared" si="25"/>
        <v>0.55069444444444449</v>
      </c>
      <c r="AE375" s="1">
        <v>38</v>
      </c>
      <c r="AF375" s="1">
        <v>10</v>
      </c>
      <c r="AG375" s="1">
        <v>3</v>
      </c>
    </row>
    <row r="376" spans="28:33" x14ac:dyDescent="0.3">
      <c r="AB376" s="3">
        <v>0.55138888888888804</v>
      </c>
      <c r="AC376" s="3" t="str">
        <f t="shared" si="24"/>
        <v>13:14</v>
      </c>
      <c r="AD376" s="3">
        <f t="shared" si="25"/>
        <v>0.55138888888888882</v>
      </c>
      <c r="AE376" s="1">
        <v>38</v>
      </c>
      <c r="AF376" s="1">
        <v>10</v>
      </c>
      <c r="AG376" s="1">
        <v>4</v>
      </c>
    </row>
    <row r="377" spans="28:33" x14ac:dyDescent="0.3">
      <c r="AB377" s="3">
        <v>0.55208333333333304</v>
      </c>
      <c r="AC377" s="3" t="str">
        <f t="shared" si="24"/>
        <v>13:15</v>
      </c>
      <c r="AD377" s="3">
        <f t="shared" si="25"/>
        <v>0.55208333333333337</v>
      </c>
      <c r="AE377" s="1">
        <v>38</v>
      </c>
      <c r="AF377" s="1">
        <v>10</v>
      </c>
      <c r="AG377" s="1">
        <v>5</v>
      </c>
    </row>
    <row r="378" spans="28:33" x14ac:dyDescent="0.3">
      <c r="AB378" s="3">
        <v>0.55277777777777704</v>
      </c>
      <c r="AC378" s="3" t="str">
        <f t="shared" si="24"/>
        <v>13:16</v>
      </c>
      <c r="AD378" s="3">
        <f t="shared" si="25"/>
        <v>0.55277777777777781</v>
      </c>
      <c r="AE378" s="1">
        <v>38</v>
      </c>
      <c r="AF378" s="1">
        <v>10</v>
      </c>
      <c r="AG378" s="1">
        <v>6</v>
      </c>
    </row>
    <row r="379" spans="28:33" x14ac:dyDescent="0.3">
      <c r="AB379" s="3">
        <v>0.55347222222222203</v>
      </c>
      <c r="AC379" s="3" t="str">
        <f t="shared" si="24"/>
        <v>13:17</v>
      </c>
      <c r="AD379" s="3">
        <f t="shared" si="25"/>
        <v>0.55347222222222225</v>
      </c>
      <c r="AE379" s="1">
        <v>38</v>
      </c>
      <c r="AF379" s="1">
        <v>10</v>
      </c>
      <c r="AG379" s="1">
        <v>7</v>
      </c>
    </row>
    <row r="380" spans="28:33" x14ac:dyDescent="0.3">
      <c r="AB380" s="3">
        <v>0.55416666666666603</v>
      </c>
      <c r="AC380" s="3" t="str">
        <f t="shared" si="24"/>
        <v>13:18</v>
      </c>
      <c r="AD380" s="3">
        <f t="shared" si="25"/>
        <v>0.5541666666666667</v>
      </c>
      <c r="AE380" s="1">
        <v>38</v>
      </c>
      <c r="AF380" s="1">
        <v>10</v>
      </c>
      <c r="AG380" s="1">
        <v>8</v>
      </c>
    </row>
    <row r="381" spans="28:33" x14ac:dyDescent="0.3">
      <c r="AB381" s="3">
        <v>0.55486111111111103</v>
      </c>
      <c r="AC381" s="3" t="str">
        <f t="shared" si="24"/>
        <v>13:19</v>
      </c>
      <c r="AD381" s="3">
        <f t="shared" si="25"/>
        <v>0.55486111111111114</v>
      </c>
      <c r="AE381" s="1">
        <v>38</v>
      </c>
      <c r="AF381" s="1">
        <v>10</v>
      </c>
      <c r="AG381" s="1">
        <v>9</v>
      </c>
    </row>
    <row r="382" spans="28:33" x14ac:dyDescent="0.3">
      <c r="AB382" s="3">
        <v>0.55555555555555503</v>
      </c>
      <c r="AC382" s="3" t="str">
        <f t="shared" si="24"/>
        <v>13:20</v>
      </c>
      <c r="AD382" s="3">
        <f t="shared" si="25"/>
        <v>0.55555555555555558</v>
      </c>
      <c r="AE382" s="1">
        <v>39</v>
      </c>
      <c r="AF382" s="1">
        <v>10</v>
      </c>
      <c r="AG382" s="1">
        <v>0</v>
      </c>
    </row>
    <row r="383" spans="28:33" x14ac:dyDescent="0.3">
      <c r="AB383" s="3">
        <v>0.55624999999999902</v>
      </c>
      <c r="AC383" s="3" t="str">
        <f t="shared" si="24"/>
        <v>13:21</v>
      </c>
      <c r="AD383" s="3">
        <f t="shared" si="25"/>
        <v>0.55625000000000002</v>
      </c>
      <c r="AE383" s="1">
        <v>39</v>
      </c>
      <c r="AF383" s="1">
        <v>10</v>
      </c>
      <c r="AG383" s="1">
        <v>1</v>
      </c>
    </row>
    <row r="384" spans="28:33" x14ac:dyDescent="0.3">
      <c r="AB384" s="3">
        <v>0.55694444444444402</v>
      </c>
      <c r="AC384" s="3" t="str">
        <f t="shared" si="24"/>
        <v>13:22</v>
      </c>
      <c r="AD384" s="3">
        <f t="shared" si="25"/>
        <v>0.55694444444444446</v>
      </c>
      <c r="AE384" s="1">
        <v>39</v>
      </c>
      <c r="AF384" s="1">
        <v>10</v>
      </c>
      <c r="AG384" s="1">
        <v>2</v>
      </c>
    </row>
    <row r="385" spans="28:33" x14ac:dyDescent="0.3">
      <c r="AB385" s="3">
        <v>0.55763888888888802</v>
      </c>
      <c r="AC385" s="3" t="str">
        <f t="shared" si="24"/>
        <v>13:23</v>
      </c>
      <c r="AD385" s="3">
        <f t="shared" si="25"/>
        <v>0.55763888888888891</v>
      </c>
      <c r="AE385" s="1">
        <v>39</v>
      </c>
      <c r="AF385" s="1">
        <v>10</v>
      </c>
      <c r="AG385" s="1">
        <v>3</v>
      </c>
    </row>
    <row r="386" spans="28:33" x14ac:dyDescent="0.3">
      <c r="AB386" s="3">
        <v>0.55833333333333302</v>
      </c>
      <c r="AC386" s="3" t="str">
        <f t="shared" si="24"/>
        <v>13:24</v>
      </c>
      <c r="AD386" s="3">
        <f t="shared" si="25"/>
        <v>0.55833333333333335</v>
      </c>
      <c r="AE386" s="1">
        <v>39</v>
      </c>
      <c r="AF386" s="1">
        <v>10</v>
      </c>
      <c r="AG386" s="1">
        <v>4</v>
      </c>
    </row>
    <row r="387" spans="28:33" x14ac:dyDescent="0.3">
      <c r="AB387" s="3">
        <v>0.55902777777777701</v>
      </c>
      <c r="AC387" s="3" t="str">
        <f t="shared" ref="AC387:AC450" si="26">TEXT(AB387,"hh:mm")</f>
        <v>13:25</v>
      </c>
      <c r="AD387" s="3">
        <f t="shared" ref="AD387:AD450" si="27">VALUE(AC387)</f>
        <v>0.55902777777777779</v>
      </c>
      <c r="AE387" s="1">
        <v>39</v>
      </c>
      <c r="AF387" s="1">
        <v>10</v>
      </c>
      <c r="AG387" s="1">
        <v>5</v>
      </c>
    </row>
    <row r="388" spans="28:33" x14ac:dyDescent="0.3">
      <c r="AB388" s="3">
        <v>0.55972222222222201</v>
      </c>
      <c r="AC388" s="3" t="str">
        <f t="shared" si="26"/>
        <v>13:26</v>
      </c>
      <c r="AD388" s="3">
        <f t="shared" si="27"/>
        <v>0.55972222222222223</v>
      </c>
      <c r="AE388" s="1">
        <v>39</v>
      </c>
      <c r="AF388" s="1">
        <v>10</v>
      </c>
      <c r="AG388" s="1">
        <v>6</v>
      </c>
    </row>
    <row r="389" spans="28:33" x14ac:dyDescent="0.3">
      <c r="AB389" s="3">
        <v>0.56041666666666601</v>
      </c>
      <c r="AC389" s="3" t="str">
        <f t="shared" si="26"/>
        <v>13:27</v>
      </c>
      <c r="AD389" s="3">
        <f t="shared" si="27"/>
        <v>0.56041666666666667</v>
      </c>
      <c r="AE389" s="1">
        <v>39</v>
      </c>
      <c r="AF389" s="1">
        <v>10</v>
      </c>
      <c r="AG389" s="1">
        <v>7</v>
      </c>
    </row>
    <row r="390" spans="28:33" x14ac:dyDescent="0.3">
      <c r="AB390" s="3">
        <v>0.56111111111111001</v>
      </c>
      <c r="AC390" s="3" t="str">
        <f t="shared" si="26"/>
        <v>13:28</v>
      </c>
      <c r="AD390" s="3">
        <f t="shared" si="27"/>
        <v>0.56111111111111112</v>
      </c>
      <c r="AE390" s="1">
        <v>39</v>
      </c>
      <c r="AF390" s="1">
        <v>10</v>
      </c>
      <c r="AG390" s="1">
        <v>8</v>
      </c>
    </row>
    <row r="391" spans="28:33" x14ac:dyDescent="0.3">
      <c r="AB391" s="3">
        <v>0.561805555555555</v>
      </c>
      <c r="AC391" s="3" t="str">
        <f t="shared" si="26"/>
        <v>13:29</v>
      </c>
      <c r="AD391" s="3">
        <f t="shared" si="27"/>
        <v>0.56180555555555556</v>
      </c>
      <c r="AE391" s="1">
        <v>39</v>
      </c>
      <c r="AF391" s="1">
        <v>10</v>
      </c>
      <c r="AG391" s="1">
        <v>9</v>
      </c>
    </row>
    <row r="392" spans="28:33" x14ac:dyDescent="0.3">
      <c r="AB392" s="3">
        <v>0.562499999999999</v>
      </c>
      <c r="AC392" s="3" t="str">
        <f t="shared" si="26"/>
        <v>13:30</v>
      </c>
      <c r="AD392" s="3">
        <f t="shared" si="27"/>
        <v>0.5625</v>
      </c>
      <c r="AE392" s="1">
        <v>40</v>
      </c>
      <c r="AF392" s="1">
        <v>10</v>
      </c>
      <c r="AG392" s="1">
        <v>0</v>
      </c>
    </row>
    <row r="393" spans="28:33" x14ac:dyDescent="0.3">
      <c r="AB393" s="3">
        <v>0.563194444444444</v>
      </c>
      <c r="AC393" s="3" t="str">
        <f t="shared" si="26"/>
        <v>13:31</v>
      </c>
      <c r="AD393" s="3">
        <f t="shared" si="27"/>
        <v>0.56319444444444444</v>
      </c>
      <c r="AE393" s="1">
        <v>40</v>
      </c>
      <c r="AF393" s="1">
        <v>10</v>
      </c>
      <c r="AG393" s="1">
        <v>1</v>
      </c>
    </row>
    <row r="394" spans="28:33" x14ac:dyDescent="0.3">
      <c r="AB394" s="3">
        <v>0.563888888888888</v>
      </c>
      <c r="AC394" s="3" t="str">
        <f t="shared" si="26"/>
        <v>13:32</v>
      </c>
      <c r="AD394" s="3">
        <f t="shared" si="27"/>
        <v>0.56388888888888888</v>
      </c>
      <c r="AE394" s="1">
        <v>40</v>
      </c>
      <c r="AF394" s="1">
        <v>10</v>
      </c>
      <c r="AG394" s="1">
        <v>2</v>
      </c>
    </row>
    <row r="395" spans="28:33" x14ac:dyDescent="0.3">
      <c r="AB395" s="3">
        <v>0.56458333333333299</v>
      </c>
      <c r="AC395" s="3" t="str">
        <f t="shared" si="26"/>
        <v>13:33</v>
      </c>
      <c r="AD395" s="3">
        <f t="shared" si="27"/>
        <v>0.56458333333333333</v>
      </c>
      <c r="AE395" s="1">
        <v>40</v>
      </c>
      <c r="AF395" s="1">
        <v>10</v>
      </c>
      <c r="AG395" s="1">
        <v>3</v>
      </c>
    </row>
    <row r="396" spans="28:33" x14ac:dyDescent="0.3">
      <c r="AB396" s="3">
        <v>0.56527777777777699</v>
      </c>
      <c r="AC396" s="3" t="str">
        <f t="shared" si="26"/>
        <v>13:34</v>
      </c>
      <c r="AD396" s="3">
        <f t="shared" si="27"/>
        <v>0.56527777777777777</v>
      </c>
      <c r="AE396" s="1">
        <v>40</v>
      </c>
      <c r="AF396" s="1">
        <v>10</v>
      </c>
      <c r="AG396" s="1">
        <v>4</v>
      </c>
    </row>
    <row r="397" spans="28:33" x14ac:dyDescent="0.3">
      <c r="AB397" s="3">
        <v>0.56597222222222199</v>
      </c>
      <c r="AC397" s="3" t="str">
        <f t="shared" si="26"/>
        <v>13:35</v>
      </c>
      <c r="AD397" s="3">
        <f t="shared" si="27"/>
        <v>0.56597222222222221</v>
      </c>
      <c r="AE397" s="1">
        <v>40</v>
      </c>
      <c r="AF397" s="1">
        <v>10</v>
      </c>
      <c r="AG397" s="1">
        <v>5</v>
      </c>
    </row>
    <row r="398" spans="28:33" x14ac:dyDescent="0.3">
      <c r="AB398" s="3">
        <v>0.56666666666666599</v>
      </c>
      <c r="AC398" s="3" t="str">
        <f t="shared" si="26"/>
        <v>13:36</v>
      </c>
      <c r="AD398" s="3">
        <f t="shared" si="27"/>
        <v>0.56666666666666665</v>
      </c>
      <c r="AE398" s="1">
        <v>40</v>
      </c>
      <c r="AF398" s="1">
        <v>10</v>
      </c>
      <c r="AG398" s="1">
        <v>6</v>
      </c>
    </row>
    <row r="399" spans="28:33" x14ac:dyDescent="0.3">
      <c r="AB399" s="3">
        <v>0.56736111111110998</v>
      </c>
      <c r="AC399" s="3" t="str">
        <f t="shared" si="26"/>
        <v>13:37</v>
      </c>
      <c r="AD399" s="3">
        <f t="shared" si="27"/>
        <v>0.56736111111111109</v>
      </c>
      <c r="AE399" s="1">
        <v>40</v>
      </c>
      <c r="AF399" s="1">
        <v>10</v>
      </c>
      <c r="AG399" s="1">
        <v>7</v>
      </c>
    </row>
    <row r="400" spans="28:33" x14ac:dyDescent="0.3">
      <c r="AB400" s="3">
        <v>0.56805555555555498</v>
      </c>
      <c r="AC400" s="3" t="str">
        <f t="shared" si="26"/>
        <v>13:38</v>
      </c>
      <c r="AD400" s="3">
        <f t="shared" si="27"/>
        <v>0.56805555555555554</v>
      </c>
      <c r="AE400" s="1">
        <v>40</v>
      </c>
      <c r="AF400" s="1">
        <v>10</v>
      </c>
      <c r="AG400" s="1">
        <v>8</v>
      </c>
    </row>
    <row r="401" spans="28:33" x14ac:dyDescent="0.3">
      <c r="AB401" s="3">
        <v>0.56874999999999898</v>
      </c>
      <c r="AC401" s="3" t="str">
        <f t="shared" si="26"/>
        <v>13:39</v>
      </c>
      <c r="AD401" s="3">
        <f t="shared" si="27"/>
        <v>0.56874999999999998</v>
      </c>
      <c r="AE401" s="1">
        <v>40</v>
      </c>
      <c r="AF401" s="1">
        <v>10</v>
      </c>
      <c r="AG401" s="1">
        <v>9</v>
      </c>
    </row>
    <row r="402" spans="28:33" x14ac:dyDescent="0.3">
      <c r="AB402" s="3">
        <v>0.56944444444444398</v>
      </c>
      <c r="AC402" s="3" t="str">
        <f t="shared" si="26"/>
        <v>13:40</v>
      </c>
      <c r="AD402" s="3">
        <f t="shared" si="27"/>
        <v>0.56944444444444442</v>
      </c>
      <c r="AE402" s="1">
        <v>41</v>
      </c>
      <c r="AF402" s="1">
        <v>10</v>
      </c>
      <c r="AG402" s="1">
        <v>0</v>
      </c>
    </row>
    <row r="403" spans="28:33" x14ac:dyDescent="0.3">
      <c r="AB403" s="3">
        <v>0.57013888888888797</v>
      </c>
      <c r="AC403" s="3" t="str">
        <f t="shared" si="26"/>
        <v>13:41</v>
      </c>
      <c r="AD403" s="3">
        <f t="shared" si="27"/>
        <v>0.57013888888888886</v>
      </c>
      <c r="AE403" s="1">
        <v>41</v>
      </c>
      <c r="AF403" s="1">
        <v>10</v>
      </c>
      <c r="AG403" s="1">
        <v>1</v>
      </c>
    </row>
    <row r="404" spans="28:33" x14ac:dyDescent="0.3">
      <c r="AB404" s="3">
        <v>0.57083333333333297</v>
      </c>
      <c r="AC404" s="3" t="str">
        <f t="shared" si="26"/>
        <v>13:42</v>
      </c>
      <c r="AD404" s="3">
        <f t="shared" si="27"/>
        <v>0.5708333333333333</v>
      </c>
      <c r="AE404" s="1">
        <v>41</v>
      </c>
      <c r="AF404" s="1">
        <v>10</v>
      </c>
      <c r="AG404" s="1">
        <v>2</v>
      </c>
    </row>
    <row r="405" spans="28:33" x14ac:dyDescent="0.3">
      <c r="AB405" s="3">
        <v>0.57152777777777697</v>
      </c>
      <c r="AC405" s="3" t="str">
        <f t="shared" si="26"/>
        <v>13:43</v>
      </c>
      <c r="AD405" s="3">
        <f t="shared" si="27"/>
        <v>0.57152777777777775</v>
      </c>
      <c r="AE405" s="1">
        <v>41</v>
      </c>
      <c r="AF405" s="1">
        <v>10</v>
      </c>
      <c r="AG405" s="1">
        <v>3</v>
      </c>
    </row>
    <row r="406" spans="28:33" x14ac:dyDescent="0.3">
      <c r="AB406" s="3">
        <v>0.57222222222222197</v>
      </c>
      <c r="AC406" s="3" t="str">
        <f t="shared" si="26"/>
        <v>13:44</v>
      </c>
      <c r="AD406" s="3">
        <f t="shared" si="27"/>
        <v>0.57222222222222219</v>
      </c>
      <c r="AE406" s="1">
        <v>41</v>
      </c>
      <c r="AF406" s="1">
        <v>10</v>
      </c>
      <c r="AG406" s="1">
        <v>4</v>
      </c>
    </row>
    <row r="407" spans="28:33" x14ac:dyDescent="0.3">
      <c r="AB407" s="3">
        <v>0.57291666666666596</v>
      </c>
      <c r="AC407" s="3" t="str">
        <f t="shared" si="26"/>
        <v>13:45</v>
      </c>
      <c r="AD407" s="3">
        <f t="shared" si="27"/>
        <v>0.57291666666666663</v>
      </c>
      <c r="AE407" s="1">
        <v>41</v>
      </c>
      <c r="AF407" s="1">
        <v>10</v>
      </c>
      <c r="AG407" s="1">
        <v>5</v>
      </c>
    </row>
    <row r="408" spans="28:33" x14ac:dyDescent="0.3">
      <c r="AB408" s="3">
        <v>0.57361111111110996</v>
      </c>
      <c r="AC408" s="3" t="str">
        <f t="shared" si="26"/>
        <v>13:46</v>
      </c>
      <c r="AD408" s="3">
        <f t="shared" si="27"/>
        <v>0.57361111111111118</v>
      </c>
      <c r="AE408" s="1">
        <v>41</v>
      </c>
      <c r="AF408" s="1">
        <v>10</v>
      </c>
      <c r="AG408" s="1">
        <v>6</v>
      </c>
    </row>
    <row r="409" spans="28:33" x14ac:dyDescent="0.3">
      <c r="AB409" s="3">
        <v>0.57430555555555496</v>
      </c>
      <c r="AC409" s="3" t="str">
        <f t="shared" si="26"/>
        <v>13:47</v>
      </c>
      <c r="AD409" s="3">
        <f t="shared" si="27"/>
        <v>0.57430555555555551</v>
      </c>
      <c r="AE409" s="1">
        <v>41</v>
      </c>
      <c r="AF409" s="1">
        <v>10</v>
      </c>
      <c r="AG409" s="1">
        <v>7</v>
      </c>
    </row>
    <row r="410" spans="28:33" x14ac:dyDescent="0.3">
      <c r="AB410" s="3">
        <v>0.57499999999999896</v>
      </c>
      <c r="AC410" s="3" t="str">
        <f t="shared" si="26"/>
        <v>13:48</v>
      </c>
      <c r="AD410" s="3">
        <f t="shared" si="27"/>
        <v>0.57500000000000007</v>
      </c>
      <c r="AE410" s="1">
        <v>41</v>
      </c>
      <c r="AF410" s="1">
        <v>10</v>
      </c>
      <c r="AG410" s="1">
        <v>8</v>
      </c>
    </row>
    <row r="411" spans="28:33" x14ac:dyDescent="0.3">
      <c r="AB411" s="3">
        <v>0.57569444444444395</v>
      </c>
      <c r="AC411" s="3" t="str">
        <f t="shared" si="26"/>
        <v>13:49</v>
      </c>
      <c r="AD411" s="3">
        <f t="shared" si="27"/>
        <v>0.5756944444444444</v>
      </c>
      <c r="AE411" s="1">
        <v>41</v>
      </c>
      <c r="AF411" s="1">
        <v>10</v>
      </c>
      <c r="AG411" s="1">
        <v>9</v>
      </c>
    </row>
    <row r="412" spans="28:33" x14ac:dyDescent="0.3">
      <c r="AB412" s="3">
        <v>0.57638888888888795</v>
      </c>
      <c r="AC412" s="3" t="str">
        <f t="shared" si="26"/>
        <v>13:50</v>
      </c>
      <c r="AD412" s="3">
        <f t="shared" si="27"/>
        <v>0.57638888888888895</v>
      </c>
      <c r="AE412" s="1">
        <v>42</v>
      </c>
      <c r="AF412" s="1">
        <v>10</v>
      </c>
      <c r="AG412" s="1">
        <v>0</v>
      </c>
    </row>
    <row r="413" spans="28:33" x14ac:dyDescent="0.3">
      <c r="AB413" s="3">
        <v>0.57708333333333295</v>
      </c>
      <c r="AC413" s="3" t="str">
        <f t="shared" si="26"/>
        <v>13:51</v>
      </c>
      <c r="AD413" s="3">
        <f t="shared" si="27"/>
        <v>0.57708333333333328</v>
      </c>
      <c r="AE413" s="1">
        <v>42</v>
      </c>
      <c r="AF413" s="1">
        <v>10</v>
      </c>
      <c r="AG413" s="1">
        <v>1</v>
      </c>
    </row>
    <row r="414" spans="28:33" x14ac:dyDescent="0.3">
      <c r="AB414" s="3">
        <v>0.57777777777777695</v>
      </c>
      <c r="AC414" s="3" t="str">
        <f t="shared" si="26"/>
        <v>13:52</v>
      </c>
      <c r="AD414" s="3">
        <f t="shared" si="27"/>
        <v>0.57777777777777783</v>
      </c>
      <c r="AE414" s="1">
        <v>42</v>
      </c>
      <c r="AF414" s="1">
        <v>10</v>
      </c>
      <c r="AG414" s="1">
        <v>2</v>
      </c>
    </row>
    <row r="415" spans="28:33" x14ac:dyDescent="0.3">
      <c r="AB415" s="3">
        <v>0.57847222222222205</v>
      </c>
      <c r="AC415" s="3" t="str">
        <f t="shared" si="26"/>
        <v>13:53</v>
      </c>
      <c r="AD415" s="3">
        <f t="shared" si="27"/>
        <v>0.57847222222222217</v>
      </c>
      <c r="AE415" s="1">
        <v>42</v>
      </c>
      <c r="AF415" s="1">
        <v>10</v>
      </c>
      <c r="AG415" s="1">
        <v>3</v>
      </c>
    </row>
    <row r="416" spans="28:33" x14ac:dyDescent="0.3">
      <c r="AB416" s="3">
        <v>0.57916666666666605</v>
      </c>
      <c r="AC416" s="3" t="str">
        <f t="shared" si="26"/>
        <v>13:54</v>
      </c>
      <c r="AD416" s="3">
        <f t="shared" si="27"/>
        <v>0.57916666666666672</v>
      </c>
      <c r="AE416" s="1">
        <v>42</v>
      </c>
      <c r="AF416" s="1">
        <v>10</v>
      </c>
      <c r="AG416" s="1">
        <v>4</v>
      </c>
    </row>
    <row r="417" spans="28:33" x14ac:dyDescent="0.3">
      <c r="AB417" s="3">
        <v>0.57986111111111005</v>
      </c>
      <c r="AC417" s="3" t="str">
        <f t="shared" si="26"/>
        <v>13:55</v>
      </c>
      <c r="AD417" s="3">
        <f t="shared" si="27"/>
        <v>0.57986111111111105</v>
      </c>
      <c r="AE417" s="1">
        <v>42</v>
      </c>
      <c r="AF417" s="1">
        <v>10</v>
      </c>
      <c r="AG417" s="1">
        <v>5</v>
      </c>
    </row>
    <row r="418" spans="28:33" x14ac:dyDescent="0.3">
      <c r="AB418" s="3">
        <v>0.58055555555555505</v>
      </c>
      <c r="AC418" s="3" t="str">
        <f t="shared" si="26"/>
        <v>13:56</v>
      </c>
      <c r="AD418" s="3">
        <f t="shared" si="27"/>
        <v>0.5805555555555556</v>
      </c>
      <c r="AE418" s="1">
        <v>42</v>
      </c>
      <c r="AF418" s="1">
        <v>10</v>
      </c>
      <c r="AG418" s="1">
        <v>6</v>
      </c>
    </row>
    <row r="419" spans="28:33" x14ac:dyDescent="0.3">
      <c r="AB419" s="3">
        <v>0.58124999999999905</v>
      </c>
      <c r="AC419" s="3" t="str">
        <f t="shared" si="26"/>
        <v>13:57</v>
      </c>
      <c r="AD419" s="3">
        <f t="shared" si="27"/>
        <v>0.58124999999999993</v>
      </c>
      <c r="AE419" s="1">
        <v>42</v>
      </c>
      <c r="AF419" s="1">
        <v>10</v>
      </c>
      <c r="AG419" s="1">
        <v>7</v>
      </c>
    </row>
    <row r="420" spans="28:33" x14ac:dyDescent="0.3">
      <c r="AB420" s="3">
        <v>0.58194444444444404</v>
      </c>
      <c r="AC420" s="3" t="str">
        <f t="shared" si="26"/>
        <v>13:58</v>
      </c>
      <c r="AD420" s="3">
        <f t="shared" si="27"/>
        <v>0.58194444444444449</v>
      </c>
      <c r="AE420" s="1">
        <v>42</v>
      </c>
      <c r="AF420" s="1">
        <v>10</v>
      </c>
      <c r="AG420" s="1">
        <v>8</v>
      </c>
    </row>
    <row r="421" spans="28:33" x14ac:dyDescent="0.3">
      <c r="AB421" s="3">
        <v>0.58263888888888804</v>
      </c>
      <c r="AC421" s="3" t="str">
        <f t="shared" si="26"/>
        <v>13:59</v>
      </c>
      <c r="AD421" s="3">
        <f t="shared" si="27"/>
        <v>0.58263888888888882</v>
      </c>
      <c r="AE421" s="1">
        <v>42</v>
      </c>
      <c r="AF421" s="1">
        <v>10</v>
      </c>
      <c r="AG421" s="1">
        <v>9</v>
      </c>
    </row>
    <row r="422" spans="28:33" x14ac:dyDescent="0.3">
      <c r="AB422" s="3">
        <v>0.58333333333333304</v>
      </c>
      <c r="AC422" s="3" t="str">
        <f t="shared" si="26"/>
        <v>14:00</v>
      </c>
      <c r="AD422" s="3">
        <f t="shared" si="27"/>
        <v>0.58333333333333337</v>
      </c>
      <c r="AE422" s="1">
        <v>43</v>
      </c>
      <c r="AF422" s="1">
        <v>10</v>
      </c>
      <c r="AG422" s="1">
        <v>0</v>
      </c>
    </row>
    <row r="423" spans="28:33" x14ac:dyDescent="0.3">
      <c r="AB423" s="3">
        <v>0.58402777777777704</v>
      </c>
      <c r="AC423" s="3" t="str">
        <f t="shared" si="26"/>
        <v>14:01</v>
      </c>
      <c r="AD423" s="3">
        <f t="shared" si="27"/>
        <v>0.58402777777777781</v>
      </c>
      <c r="AE423" s="1">
        <v>43</v>
      </c>
      <c r="AF423" s="1">
        <v>10</v>
      </c>
      <c r="AG423" s="1">
        <v>1</v>
      </c>
    </row>
    <row r="424" spans="28:33" x14ac:dyDescent="0.3">
      <c r="AB424" s="3">
        <v>0.58472222222222203</v>
      </c>
      <c r="AC424" s="3" t="str">
        <f t="shared" si="26"/>
        <v>14:02</v>
      </c>
      <c r="AD424" s="3">
        <f t="shared" si="27"/>
        <v>0.58472222222222225</v>
      </c>
      <c r="AE424" s="1">
        <v>43</v>
      </c>
      <c r="AF424" s="1">
        <v>10</v>
      </c>
      <c r="AG424" s="1">
        <v>2</v>
      </c>
    </row>
    <row r="425" spans="28:33" x14ac:dyDescent="0.3">
      <c r="AB425" s="3">
        <v>0.58541666666666603</v>
      </c>
      <c r="AC425" s="3" t="str">
        <f t="shared" si="26"/>
        <v>14:03</v>
      </c>
      <c r="AD425" s="3">
        <f t="shared" si="27"/>
        <v>0.5854166666666667</v>
      </c>
      <c r="AE425" s="1">
        <v>43</v>
      </c>
      <c r="AF425" s="1">
        <v>10</v>
      </c>
      <c r="AG425" s="1">
        <v>3</v>
      </c>
    </row>
    <row r="426" spans="28:33" x14ac:dyDescent="0.3">
      <c r="AB426" s="3">
        <v>0.58611111111111003</v>
      </c>
      <c r="AC426" s="3" t="str">
        <f t="shared" si="26"/>
        <v>14:04</v>
      </c>
      <c r="AD426" s="3">
        <f t="shared" si="27"/>
        <v>0.58611111111111114</v>
      </c>
      <c r="AE426" s="1">
        <v>43</v>
      </c>
      <c r="AF426" s="1">
        <v>10</v>
      </c>
      <c r="AG426" s="1">
        <v>4</v>
      </c>
    </row>
    <row r="427" spans="28:33" x14ac:dyDescent="0.3">
      <c r="AB427" s="3">
        <v>0.58680555555555503</v>
      </c>
      <c r="AC427" s="3" t="str">
        <f t="shared" si="26"/>
        <v>14:05</v>
      </c>
      <c r="AD427" s="3">
        <f t="shared" si="27"/>
        <v>0.58680555555555558</v>
      </c>
      <c r="AE427" s="1">
        <v>43</v>
      </c>
      <c r="AF427" s="1">
        <v>10</v>
      </c>
      <c r="AG427" s="1">
        <v>5</v>
      </c>
    </row>
    <row r="428" spans="28:33" x14ac:dyDescent="0.3">
      <c r="AB428" s="3">
        <v>0.58749999999999902</v>
      </c>
      <c r="AC428" s="3" t="str">
        <f t="shared" si="26"/>
        <v>14:06</v>
      </c>
      <c r="AD428" s="3">
        <f t="shared" si="27"/>
        <v>0.58750000000000002</v>
      </c>
      <c r="AE428" s="1">
        <v>43</v>
      </c>
      <c r="AF428" s="1">
        <v>10</v>
      </c>
      <c r="AG428" s="1">
        <v>6</v>
      </c>
    </row>
    <row r="429" spans="28:33" x14ac:dyDescent="0.3">
      <c r="AB429" s="3">
        <v>0.58819444444444402</v>
      </c>
      <c r="AC429" s="3" t="str">
        <f t="shared" si="26"/>
        <v>14:07</v>
      </c>
      <c r="AD429" s="3">
        <f t="shared" si="27"/>
        <v>0.58819444444444446</v>
      </c>
      <c r="AE429" s="1">
        <v>43</v>
      </c>
      <c r="AF429" s="1">
        <v>10</v>
      </c>
      <c r="AG429" s="1">
        <v>7</v>
      </c>
    </row>
    <row r="430" spans="28:33" x14ac:dyDescent="0.3">
      <c r="AB430" s="3">
        <v>0.58888888888888802</v>
      </c>
      <c r="AC430" s="3" t="str">
        <f t="shared" si="26"/>
        <v>14:08</v>
      </c>
      <c r="AD430" s="3">
        <f t="shared" si="27"/>
        <v>0.58888888888888891</v>
      </c>
      <c r="AE430" s="1">
        <v>43</v>
      </c>
      <c r="AF430" s="1">
        <v>10</v>
      </c>
      <c r="AG430" s="1">
        <v>8</v>
      </c>
    </row>
    <row r="431" spans="28:33" x14ac:dyDescent="0.3">
      <c r="AB431" s="3">
        <v>0.58958333333333302</v>
      </c>
      <c r="AC431" s="3" t="str">
        <f t="shared" si="26"/>
        <v>14:09</v>
      </c>
      <c r="AD431" s="3">
        <f t="shared" si="27"/>
        <v>0.58958333333333335</v>
      </c>
      <c r="AE431" s="1">
        <v>43</v>
      </c>
      <c r="AF431" s="1">
        <v>10</v>
      </c>
      <c r="AG431" s="1">
        <v>9</v>
      </c>
    </row>
    <row r="432" spans="28:33" x14ac:dyDescent="0.3">
      <c r="AB432" s="3">
        <v>0.59027777777777701</v>
      </c>
      <c r="AC432" s="3" t="str">
        <f t="shared" si="26"/>
        <v>14:10</v>
      </c>
      <c r="AD432" s="3">
        <f t="shared" si="27"/>
        <v>0.59027777777777779</v>
      </c>
      <c r="AE432" s="1">
        <v>44</v>
      </c>
      <c r="AF432" s="1">
        <v>10</v>
      </c>
      <c r="AG432" s="1">
        <v>0</v>
      </c>
    </row>
    <row r="433" spans="28:33" x14ac:dyDescent="0.3">
      <c r="AB433" s="3">
        <v>0.59097222222222101</v>
      </c>
      <c r="AC433" s="3" t="str">
        <f t="shared" si="26"/>
        <v>14:11</v>
      </c>
      <c r="AD433" s="3">
        <f t="shared" si="27"/>
        <v>0.59097222222222223</v>
      </c>
      <c r="AE433" s="1">
        <v>44</v>
      </c>
      <c r="AF433" s="1">
        <v>10</v>
      </c>
      <c r="AG433" s="1">
        <v>1</v>
      </c>
    </row>
    <row r="434" spans="28:33" x14ac:dyDescent="0.3">
      <c r="AB434" s="3">
        <v>0.59166666666666601</v>
      </c>
      <c r="AC434" s="3" t="str">
        <f t="shared" si="26"/>
        <v>14:12</v>
      </c>
      <c r="AD434" s="3">
        <f t="shared" si="27"/>
        <v>0.59166666666666667</v>
      </c>
      <c r="AE434" s="1">
        <v>44</v>
      </c>
      <c r="AF434" s="1">
        <v>10</v>
      </c>
      <c r="AG434" s="1">
        <v>2</v>
      </c>
    </row>
    <row r="435" spans="28:33" x14ac:dyDescent="0.3">
      <c r="AB435" s="3">
        <v>0.59236111111111001</v>
      </c>
      <c r="AC435" s="3" t="str">
        <f t="shared" si="26"/>
        <v>14:13</v>
      </c>
      <c r="AD435" s="3">
        <f t="shared" si="27"/>
        <v>0.59236111111111112</v>
      </c>
      <c r="AE435" s="1">
        <v>44</v>
      </c>
      <c r="AF435" s="1">
        <v>10</v>
      </c>
      <c r="AG435" s="1">
        <v>3</v>
      </c>
    </row>
    <row r="436" spans="28:33" x14ac:dyDescent="0.3">
      <c r="AB436" s="3">
        <v>0.593055555555555</v>
      </c>
      <c r="AC436" s="3" t="str">
        <f t="shared" si="26"/>
        <v>14:14</v>
      </c>
      <c r="AD436" s="3">
        <f t="shared" si="27"/>
        <v>0.59305555555555556</v>
      </c>
      <c r="AE436" s="1">
        <v>44</v>
      </c>
      <c r="AF436" s="1">
        <v>10</v>
      </c>
      <c r="AG436" s="1">
        <v>4</v>
      </c>
    </row>
    <row r="437" spans="28:33" x14ac:dyDescent="0.3">
      <c r="AB437" s="3">
        <v>0.593749999999999</v>
      </c>
      <c r="AC437" s="3" t="str">
        <f t="shared" si="26"/>
        <v>14:15</v>
      </c>
      <c r="AD437" s="3">
        <f t="shared" si="27"/>
        <v>0.59375</v>
      </c>
      <c r="AE437" s="1">
        <v>44</v>
      </c>
      <c r="AF437" s="1">
        <v>10</v>
      </c>
      <c r="AG437" s="1">
        <v>5</v>
      </c>
    </row>
    <row r="438" spans="28:33" x14ac:dyDescent="0.3">
      <c r="AB438" s="3">
        <v>0.594444444444444</v>
      </c>
      <c r="AC438" s="3" t="str">
        <f t="shared" si="26"/>
        <v>14:16</v>
      </c>
      <c r="AD438" s="3">
        <f t="shared" si="27"/>
        <v>0.59444444444444444</v>
      </c>
      <c r="AE438" s="1">
        <v>44</v>
      </c>
      <c r="AF438" s="1">
        <v>10</v>
      </c>
      <c r="AG438" s="1">
        <v>6</v>
      </c>
    </row>
    <row r="439" spans="28:33" x14ac:dyDescent="0.3">
      <c r="AB439" s="3">
        <v>0.595138888888888</v>
      </c>
      <c r="AC439" s="3" t="str">
        <f t="shared" si="26"/>
        <v>14:17</v>
      </c>
      <c r="AD439" s="3">
        <f t="shared" si="27"/>
        <v>0.59513888888888888</v>
      </c>
      <c r="AE439" s="1">
        <v>44</v>
      </c>
      <c r="AF439" s="1">
        <v>10</v>
      </c>
      <c r="AG439" s="1">
        <v>7</v>
      </c>
    </row>
    <row r="440" spans="28:33" x14ac:dyDescent="0.3">
      <c r="AB440" s="3">
        <v>0.59583333333333299</v>
      </c>
      <c r="AC440" s="3" t="str">
        <f t="shared" si="26"/>
        <v>14:18</v>
      </c>
      <c r="AD440" s="3">
        <f t="shared" si="27"/>
        <v>0.59583333333333333</v>
      </c>
      <c r="AE440" s="1">
        <v>44</v>
      </c>
      <c r="AF440" s="1">
        <v>10</v>
      </c>
      <c r="AG440" s="1">
        <v>8</v>
      </c>
    </row>
    <row r="441" spans="28:33" x14ac:dyDescent="0.3">
      <c r="AB441" s="3">
        <v>0.59652777777777699</v>
      </c>
      <c r="AC441" s="3" t="str">
        <f t="shared" si="26"/>
        <v>14:19</v>
      </c>
      <c r="AD441" s="3">
        <f t="shared" si="27"/>
        <v>0.59652777777777777</v>
      </c>
      <c r="AE441" s="1">
        <v>44</v>
      </c>
      <c r="AF441" s="1">
        <v>10</v>
      </c>
      <c r="AG441" s="1">
        <v>9</v>
      </c>
    </row>
    <row r="442" spans="28:33" x14ac:dyDescent="0.3">
      <c r="AB442" s="3">
        <v>0.59722222222222099</v>
      </c>
      <c r="AC442" s="3" t="str">
        <f t="shared" si="26"/>
        <v>14:20</v>
      </c>
      <c r="AD442" s="3">
        <f t="shared" si="27"/>
        <v>0.59722222222222221</v>
      </c>
      <c r="AE442" s="1">
        <v>45</v>
      </c>
      <c r="AF442" s="1">
        <v>10</v>
      </c>
      <c r="AG442" s="1">
        <v>0</v>
      </c>
    </row>
    <row r="443" spans="28:33" x14ac:dyDescent="0.3">
      <c r="AB443" s="3">
        <v>0.59791666666666599</v>
      </c>
      <c r="AC443" s="3" t="str">
        <f t="shared" si="26"/>
        <v>14:21</v>
      </c>
      <c r="AD443" s="3">
        <f t="shared" si="27"/>
        <v>0.59791666666666665</v>
      </c>
      <c r="AE443" s="1">
        <v>45</v>
      </c>
      <c r="AF443" s="1">
        <v>10</v>
      </c>
      <c r="AG443" s="1">
        <v>1</v>
      </c>
    </row>
    <row r="444" spans="28:33" x14ac:dyDescent="0.3">
      <c r="AB444" s="3">
        <v>0.59861111111110998</v>
      </c>
      <c r="AC444" s="3" t="str">
        <f t="shared" si="26"/>
        <v>14:22</v>
      </c>
      <c r="AD444" s="3">
        <f t="shared" si="27"/>
        <v>0.59861111111111109</v>
      </c>
      <c r="AE444" s="1">
        <v>45</v>
      </c>
      <c r="AF444" s="1">
        <v>10</v>
      </c>
      <c r="AG444" s="1">
        <v>2</v>
      </c>
    </row>
    <row r="445" spans="28:33" x14ac:dyDescent="0.3">
      <c r="AB445" s="3">
        <v>0.59930555555555498</v>
      </c>
      <c r="AC445" s="3" t="str">
        <f t="shared" si="26"/>
        <v>14:23</v>
      </c>
      <c r="AD445" s="3">
        <f t="shared" si="27"/>
        <v>0.59930555555555554</v>
      </c>
      <c r="AE445" s="1">
        <v>45</v>
      </c>
      <c r="AF445" s="1">
        <v>10</v>
      </c>
      <c r="AG445" s="1">
        <v>3</v>
      </c>
    </row>
    <row r="446" spans="28:33" x14ac:dyDescent="0.3">
      <c r="AB446" s="3">
        <v>0.59999999999999898</v>
      </c>
      <c r="AC446" s="3" t="str">
        <f t="shared" si="26"/>
        <v>14:24</v>
      </c>
      <c r="AD446" s="3">
        <f t="shared" si="27"/>
        <v>0.6</v>
      </c>
      <c r="AE446" s="1">
        <v>45</v>
      </c>
      <c r="AF446" s="1">
        <v>10</v>
      </c>
      <c r="AG446" s="1">
        <v>4</v>
      </c>
    </row>
    <row r="447" spans="28:33" x14ac:dyDescent="0.3">
      <c r="AB447" s="3">
        <v>0.60069444444444398</v>
      </c>
      <c r="AC447" s="3" t="str">
        <f t="shared" si="26"/>
        <v>14:25</v>
      </c>
      <c r="AD447" s="3">
        <f t="shared" si="27"/>
        <v>0.60069444444444442</v>
      </c>
      <c r="AE447" s="1">
        <v>45</v>
      </c>
      <c r="AF447" s="1">
        <v>10</v>
      </c>
      <c r="AG447" s="1">
        <v>5</v>
      </c>
    </row>
    <row r="448" spans="28:33" x14ac:dyDescent="0.3">
      <c r="AB448" s="3">
        <v>0.60138888888888797</v>
      </c>
      <c r="AC448" s="3" t="str">
        <f t="shared" si="26"/>
        <v>14:26</v>
      </c>
      <c r="AD448" s="3">
        <f t="shared" si="27"/>
        <v>0.60138888888888886</v>
      </c>
      <c r="AE448" s="1">
        <v>45</v>
      </c>
      <c r="AF448" s="1">
        <v>10</v>
      </c>
      <c r="AG448" s="1">
        <v>6</v>
      </c>
    </row>
    <row r="449" spans="28:33" x14ac:dyDescent="0.3">
      <c r="AB449" s="3">
        <v>0.60208333333333297</v>
      </c>
      <c r="AC449" s="3" t="str">
        <f t="shared" si="26"/>
        <v>14:27</v>
      </c>
      <c r="AD449" s="3">
        <f t="shared" si="27"/>
        <v>0.6020833333333333</v>
      </c>
      <c r="AE449" s="1">
        <v>45</v>
      </c>
      <c r="AF449" s="1">
        <v>10</v>
      </c>
      <c r="AG449" s="1">
        <v>7</v>
      </c>
    </row>
    <row r="450" spans="28:33" x14ac:dyDescent="0.3">
      <c r="AB450" s="3">
        <v>0.60277777777777697</v>
      </c>
      <c r="AC450" s="3" t="str">
        <f t="shared" si="26"/>
        <v>14:28</v>
      </c>
      <c r="AD450" s="3">
        <f t="shared" si="27"/>
        <v>0.60277777777777775</v>
      </c>
      <c r="AE450" s="1">
        <v>45</v>
      </c>
      <c r="AF450" s="1">
        <v>10</v>
      </c>
      <c r="AG450" s="1">
        <v>8</v>
      </c>
    </row>
    <row r="451" spans="28:33" x14ac:dyDescent="0.3">
      <c r="AB451" s="3">
        <v>0.60347222222222097</v>
      </c>
      <c r="AC451" s="3" t="str">
        <f t="shared" ref="AC451:AC514" si="28">TEXT(AB451,"hh:mm")</f>
        <v>14:29</v>
      </c>
      <c r="AD451" s="3">
        <f t="shared" ref="AD451:AD514" si="29">VALUE(AC451)</f>
        <v>0.60347222222222219</v>
      </c>
      <c r="AE451" s="1">
        <v>45</v>
      </c>
      <c r="AF451" s="1">
        <v>10</v>
      </c>
      <c r="AG451" s="1">
        <v>9</v>
      </c>
    </row>
    <row r="452" spans="28:33" x14ac:dyDescent="0.3">
      <c r="AB452" s="3">
        <v>0.60416666666666596</v>
      </c>
      <c r="AC452" s="3" t="str">
        <f t="shared" si="28"/>
        <v>14:30</v>
      </c>
      <c r="AD452" s="3">
        <f t="shared" si="29"/>
        <v>0.60416666666666663</v>
      </c>
      <c r="AE452" s="1">
        <v>46</v>
      </c>
      <c r="AF452" s="1">
        <v>10</v>
      </c>
      <c r="AG452" s="1">
        <v>0</v>
      </c>
    </row>
    <row r="453" spans="28:33" x14ac:dyDescent="0.3">
      <c r="AB453" s="3">
        <v>0.60486111111110996</v>
      </c>
      <c r="AC453" s="3" t="str">
        <f t="shared" si="28"/>
        <v>14:31</v>
      </c>
      <c r="AD453" s="3">
        <f t="shared" si="29"/>
        <v>0.60486111111111118</v>
      </c>
      <c r="AE453" s="1">
        <v>46</v>
      </c>
      <c r="AF453" s="1">
        <v>10</v>
      </c>
      <c r="AG453" s="1">
        <v>1</v>
      </c>
    </row>
    <row r="454" spans="28:33" x14ac:dyDescent="0.3">
      <c r="AB454" s="3">
        <v>0.60555555555555496</v>
      </c>
      <c r="AC454" s="3" t="str">
        <f t="shared" si="28"/>
        <v>14:32</v>
      </c>
      <c r="AD454" s="3">
        <f t="shared" si="29"/>
        <v>0.60555555555555551</v>
      </c>
      <c r="AE454" s="1">
        <v>46</v>
      </c>
      <c r="AF454" s="1">
        <v>10</v>
      </c>
      <c r="AG454" s="1">
        <v>2</v>
      </c>
    </row>
    <row r="455" spans="28:33" x14ac:dyDescent="0.3">
      <c r="AB455" s="3">
        <v>0.60624999999999896</v>
      </c>
      <c r="AC455" s="3" t="str">
        <f t="shared" si="28"/>
        <v>14:33</v>
      </c>
      <c r="AD455" s="3">
        <f t="shared" si="29"/>
        <v>0.60625000000000007</v>
      </c>
      <c r="AE455" s="1">
        <v>46</v>
      </c>
      <c r="AF455" s="1">
        <v>10</v>
      </c>
      <c r="AG455" s="1">
        <v>3</v>
      </c>
    </row>
    <row r="456" spans="28:33" x14ac:dyDescent="0.3">
      <c r="AB456" s="3">
        <v>0.60694444444444395</v>
      </c>
      <c r="AC456" s="3" t="str">
        <f t="shared" si="28"/>
        <v>14:34</v>
      </c>
      <c r="AD456" s="3">
        <f t="shared" si="29"/>
        <v>0.6069444444444444</v>
      </c>
      <c r="AE456" s="1">
        <v>46</v>
      </c>
      <c r="AF456" s="1">
        <v>10</v>
      </c>
      <c r="AG456" s="1">
        <v>4</v>
      </c>
    </row>
    <row r="457" spans="28:33" x14ac:dyDescent="0.3">
      <c r="AB457" s="3">
        <v>0.60763888888888795</v>
      </c>
      <c r="AC457" s="3" t="str">
        <f t="shared" si="28"/>
        <v>14:35</v>
      </c>
      <c r="AD457" s="3">
        <f t="shared" si="29"/>
        <v>0.60763888888888895</v>
      </c>
      <c r="AE457" s="1">
        <v>46</v>
      </c>
      <c r="AF457" s="1">
        <v>10</v>
      </c>
      <c r="AG457" s="1">
        <v>5</v>
      </c>
    </row>
    <row r="458" spans="28:33" x14ac:dyDescent="0.3">
      <c r="AB458" s="3">
        <v>0.60833333333333295</v>
      </c>
      <c r="AC458" s="3" t="str">
        <f t="shared" si="28"/>
        <v>14:36</v>
      </c>
      <c r="AD458" s="3">
        <f t="shared" si="29"/>
        <v>0.60833333333333328</v>
      </c>
      <c r="AE458" s="1">
        <v>46</v>
      </c>
      <c r="AF458" s="1">
        <v>10</v>
      </c>
      <c r="AG458" s="1">
        <v>6</v>
      </c>
    </row>
    <row r="459" spans="28:33" x14ac:dyDescent="0.3">
      <c r="AB459" s="3">
        <v>0.60902777777777695</v>
      </c>
      <c r="AC459" s="3" t="str">
        <f t="shared" si="28"/>
        <v>14:37</v>
      </c>
      <c r="AD459" s="3">
        <f t="shared" si="29"/>
        <v>0.60902777777777783</v>
      </c>
      <c r="AE459" s="1">
        <v>46</v>
      </c>
      <c r="AF459" s="1">
        <v>10</v>
      </c>
      <c r="AG459" s="1">
        <v>7</v>
      </c>
    </row>
    <row r="460" spans="28:33" x14ac:dyDescent="0.3">
      <c r="AB460" s="3">
        <v>0.60972222222222106</v>
      </c>
      <c r="AC460" s="3" t="str">
        <f t="shared" si="28"/>
        <v>14:38</v>
      </c>
      <c r="AD460" s="3">
        <f t="shared" si="29"/>
        <v>0.60972222222222217</v>
      </c>
      <c r="AE460" s="1">
        <v>46</v>
      </c>
      <c r="AF460" s="1">
        <v>10</v>
      </c>
      <c r="AG460" s="1">
        <v>8</v>
      </c>
    </row>
    <row r="461" spans="28:33" x14ac:dyDescent="0.3">
      <c r="AB461" s="3">
        <v>0.61041666666666605</v>
      </c>
      <c r="AC461" s="3" t="str">
        <f t="shared" si="28"/>
        <v>14:39</v>
      </c>
      <c r="AD461" s="3">
        <f t="shared" si="29"/>
        <v>0.61041666666666672</v>
      </c>
      <c r="AE461" s="1">
        <v>46</v>
      </c>
      <c r="AF461" s="1">
        <v>10</v>
      </c>
      <c r="AG461" s="1">
        <v>9</v>
      </c>
    </row>
    <row r="462" spans="28:33" x14ac:dyDescent="0.3">
      <c r="AB462" s="3">
        <v>0.61111111111111005</v>
      </c>
      <c r="AC462" s="3" t="str">
        <f t="shared" si="28"/>
        <v>14:40</v>
      </c>
      <c r="AD462" s="3">
        <f t="shared" si="29"/>
        <v>0.61111111111111105</v>
      </c>
      <c r="AE462" s="1">
        <v>47</v>
      </c>
      <c r="AF462" s="1">
        <v>10</v>
      </c>
      <c r="AG462" s="1">
        <v>0</v>
      </c>
    </row>
    <row r="463" spans="28:33" x14ac:dyDescent="0.3">
      <c r="AB463" s="3">
        <v>0.61180555555555505</v>
      </c>
      <c r="AC463" s="3" t="str">
        <f t="shared" si="28"/>
        <v>14:41</v>
      </c>
      <c r="AD463" s="3">
        <f t="shared" si="29"/>
        <v>0.6118055555555556</v>
      </c>
      <c r="AE463" s="1">
        <v>47</v>
      </c>
      <c r="AF463" s="1">
        <v>10</v>
      </c>
      <c r="AG463" s="1">
        <v>1</v>
      </c>
    </row>
    <row r="464" spans="28:33" x14ac:dyDescent="0.3">
      <c r="AB464" s="3">
        <v>0.61249999999999905</v>
      </c>
      <c r="AC464" s="3" t="str">
        <f t="shared" si="28"/>
        <v>14:42</v>
      </c>
      <c r="AD464" s="3">
        <f t="shared" si="29"/>
        <v>0.61249999999999993</v>
      </c>
      <c r="AE464" s="1">
        <v>47</v>
      </c>
      <c r="AF464" s="1">
        <v>10</v>
      </c>
      <c r="AG464" s="1">
        <v>2</v>
      </c>
    </row>
    <row r="465" spans="28:33" x14ac:dyDescent="0.3">
      <c r="AB465" s="3">
        <v>0.61319444444444404</v>
      </c>
      <c r="AC465" s="3" t="str">
        <f t="shared" si="28"/>
        <v>14:43</v>
      </c>
      <c r="AD465" s="3">
        <f t="shared" si="29"/>
        <v>0.61319444444444449</v>
      </c>
      <c r="AE465" s="1">
        <v>47</v>
      </c>
      <c r="AF465" s="1">
        <v>10</v>
      </c>
      <c r="AG465" s="1">
        <v>3</v>
      </c>
    </row>
    <row r="466" spans="28:33" x14ac:dyDescent="0.3">
      <c r="AB466" s="3">
        <v>0.61388888888888804</v>
      </c>
      <c r="AC466" s="3" t="str">
        <f t="shared" si="28"/>
        <v>14:44</v>
      </c>
      <c r="AD466" s="3">
        <f t="shared" si="29"/>
        <v>0.61388888888888882</v>
      </c>
      <c r="AE466" s="1">
        <v>47</v>
      </c>
      <c r="AF466" s="1">
        <v>10</v>
      </c>
      <c r="AG466" s="1">
        <v>4</v>
      </c>
    </row>
    <row r="467" spans="28:33" x14ac:dyDescent="0.3">
      <c r="AB467" s="3">
        <v>0.61458333333333304</v>
      </c>
      <c r="AC467" s="3" t="str">
        <f t="shared" si="28"/>
        <v>14:45</v>
      </c>
      <c r="AD467" s="3">
        <f t="shared" si="29"/>
        <v>0.61458333333333337</v>
      </c>
      <c r="AE467" s="1">
        <v>47</v>
      </c>
      <c r="AF467" s="1">
        <v>10</v>
      </c>
      <c r="AG467" s="1">
        <v>5</v>
      </c>
    </row>
    <row r="468" spans="28:33" x14ac:dyDescent="0.3">
      <c r="AB468" s="3">
        <v>0.61527777777777704</v>
      </c>
      <c r="AC468" s="3" t="str">
        <f t="shared" si="28"/>
        <v>14:46</v>
      </c>
      <c r="AD468" s="3">
        <f t="shared" si="29"/>
        <v>0.61527777777777781</v>
      </c>
      <c r="AE468" s="1">
        <v>47</v>
      </c>
      <c r="AF468" s="1">
        <v>10</v>
      </c>
      <c r="AG468" s="1">
        <v>6</v>
      </c>
    </row>
    <row r="469" spans="28:33" x14ac:dyDescent="0.3">
      <c r="AB469" s="3">
        <v>0.61597222222222103</v>
      </c>
      <c r="AC469" s="3" t="str">
        <f t="shared" si="28"/>
        <v>14:47</v>
      </c>
      <c r="AD469" s="3">
        <f t="shared" si="29"/>
        <v>0.61597222222222225</v>
      </c>
      <c r="AE469" s="1">
        <v>47</v>
      </c>
      <c r="AF469" s="1">
        <v>10</v>
      </c>
      <c r="AG469" s="1">
        <v>7</v>
      </c>
    </row>
    <row r="470" spans="28:33" x14ac:dyDescent="0.3">
      <c r="AB470" s="3">
        <v>0.61666666666666603</v>
      </c>
      <c r="AC470" s="3" t="str">
        <f t="shared" si="28"/>
        <v>14:48</v>
      </c>
      <c r="AD470" s="3">
        <f t="shared" si="29"/>
        <v>0.6166666666666667</v>
      </c>
      <c r="AE470" s="1">
        <v>47</v>
      </c>
      <c r="AF470" s="1">
        <v>10</v>
      </c>
      <c r="AG470" s="1">
        <v>8</v>
      </c>
    </row>
    <row r="471" spans="28:33" x14ac:dyDescent="0.3">
      <c r="AB471" s="3">
        <v>0.61736111111111003</v>
      </c>
      <c r="AC471" s="3" t="str">
        <f t="shared" si="28"/>
        <v>14:49</v>
      </c>
      <c r="AD471" s="3">
        <f t="shared" si="29"/>
        <v>0.61736111111111114</v>
      </c>
      <c r="AE471" s="1">
        <v>47</v>
      </c>
      <c r="AF471" s="1">
        <v>10</v>
      </c>
      <c r="AG471" s="1">
        <v>9</v>
      </c>
    </row>
    <row r="472" spans="28:33" x14ac:dyDescent="0.3">
      <c r="AB472" s="3">
        <v>0.61805555555555503</v>
      </c>
      <c r="AC472" s="3" t="str">
        <f t="shared" si="28"/>
        <v>14:50</v>
      </c>
      <c r="AD472" s="3">
        <f t="shared" si="29"/>
        <v>0.61805555555555558</v>
      </c>
      <c r="AE472" s="1">
        <v>48</v>
      </c>
      <c r="AF472" s="1">
        <v>10</v>
      </c>
      <c r="AG472" s="1">
        <v>0</v>
      </c>
    </row>
    <row r="473" spans="28:33" x14ac:dyDescent="0.3">
      <c r="AB473" s="3">
        <v>0.61874999999999902</v>
      </c>
      <c r="AC473" s="3" t="str">
        <f t="shared" si="28"/>
        <v>14:51</v>
      </c>
      <c r="AD473" s="3">
        <f t="shared" si="29"/>
        <v>0.61875000000000002</v>
      </c>
      <c r="AE473" s="1">
        <v>48</v>
      </c>
      <c r="AF473" s="1">
        <v>10</v>
      </c>
      <c r="AG473" s="1">
        <v>1</v>
      </c>
    </row>
    <row r="474" spans="28:33" x14ac:dyDescent="0.3">
      <c r="AB474" s="3">
        <v>0.61944444444444402</v>
      </c>
      <c r="AC474" s="3" t="str">
        <f t="shared" si="28"/>
        <v>14:52</v>
      </c>
      <c r="AD474" s="3">
        <f t="shared" si="29"/>
        <v>0.61944444444444446</v>
      </c>
      <c r="AE474" s="1">
        <v>48</v>
      </c>
      <c r="AF474" s="1">
        <v>10</v>
      </c>
      <c r="AG474" s="1">
        <v>2</v>
      </c>
    </row>
    <row r="475" spans="28:33" x14ac:dyDescent="0.3">
      <c r="AB475" s="3">
        <v>0.62013888888888802</v>
      </c>
      <c r="AC475" s="3" t="str">
        <f t="shared" si="28"/>
        <v>14:53</v>
      </c>
      <c r="AD475" s="3">
        <f t="shared" si="29"/>
        <v>0.62013888888888891</v>
      </c>
      <c r="AE475" s="1">
        <v>48</v>
      </c>
      <c r="AF475" s="1">
        <v>10</v>
      </c>
      <c r="AG475" s="1">
        <v>3</v>
      </c>
    </row>
    <row r="476" spans="28:33" x14ac:dyDescent="0.3">
      <c r="AB476" s="3">
        <v>0.62083333333333202</v>
      </c>
      <c r="AC476" s="3" t="str">
        <f t="shared" si="28"/>
        <v>14:54</v>
      </c>
      <c r="AD476" s="3">
        <f t="shared" si="29"/>
        <v>0.62083333333333335</v>
      </c>
      <c r="AE476" s="1">
        <v>48</v>
      </c>
      <c r="AF476" s="1">
        <v>10</v>
      </c>
      <c r="AG476" s="1">
        <v>4</v>
      </c>
    </row>
    <row r="477" spans="28:33" x14ac:dyDescent="0.3">
      <c r="AB477" s="3">
        <v>0.62152777777777701</v>
      </c>
      <c r="AC477" s="3" t="str">
        <f t="shared" si="28"/>
        <v>14:55</v>
      </c>
      <c r="AD477" s="3">
        <f t="shared" si="29"/>
        <v>0.62152777777777779</v>
      </c>
      <c r="AE477" s="1">
        <v>48</v>
      </c>
      <c r="AF477" s="1">
        <v>10</v>
      </c>
      <c r="AG477" s="1">
        <v>5</v>
      </c>
    </row>
    <row r="478" spans="28:33" x14ac:dyDescent="0.3">
      <c r="AB478" s="3">
        <v>0.62222222222222101</v>
      </c>
      <c r="AC478" s="3" t="str">
        <f t="shared" si="28"/>
        <v>14:56</v>
      </c>
      <c r="AD478" s="3">
        <f t="shared" si="29"/>
        <v>0.62222222222222223</v>
      </c>
      <c r="AE478" s="1">
        <v>48</v>
      </c>
      <c r="AF478" s="1">
        <v>10</v>
      </c>
      <c r="AG478" s="1">
        <v>6</v>
      </c>
    </row>
    <row r="479" spans="28:33" x14ac:dyDescent="0.3">
      <c r="AB479" s="3">
        <v>0.62291666666666601</v>
      </c>
      <c r="AC479" s="3" t="str">
        <f t="shared" si="28"/>
        <v>14:57</v>
      </c>
      <c r="AD479" s="3">
        <f t="shared" si="29"/>
        <v>0.62291666666666667</v>
      </c>
      <c r="AE479" s="1">
        <v>48</v>
      </c>
      <c r="AF479" s="1">
        <v>10</v>
      </c>
      <c r="AG479" s="1">
        <v>7</v>
      </c>
    </row>
    <row r="480" spans="28:33" x14ac:dyDescent="0.3">
      <c r="AB480" s="3">
        <v>0.62361111111111001</v>
      </c>
      <c r="AC480" s="3" t="str">
        <f t="shared" si="28"/>
        <v>14:58</v>
      </c>
      <c r="AD480" s="3">
        <f t="shared" si="29"/>
        <v>0.62361111111111112</v>
      </c>
      <c r="AE480" s="1">
        <v>48</v>
      </c>
      <c r="AF480" s="1">
        <v>10</v>
      </c>
      <c r="AG480" s="1">
        <v>8</v>
      </c>
    </row>
    <row r="481" spans="28:33" x14ac:dyDescent="0.3">
      <c r="AB481" s="3">
        <v>0.624305555555555</v>
      </c>
      <c r="AC481" s="3" t="str">
        <f t="shared" si="28"/>
        <v>14:59</v>
      </c>
      <c r="AD481" s="3">
        <f t="shared" si="29"/>
        <v>0.62430555555555556</v>
      </c>
      <c r="AE481" s="1">
        <v>48</v>
      </c>
      <c r="AF481" s="1">
        <v>10</v>
      </c>
      <c r="AG481" s="1">
        <v>9</v>
      </c>
    </row>
    <row r="482" spans="28:33" x14ac:dyDescent="0.3">
      <c r="AB482" s="3">
        <v>0.624999999999999</v>
      </c>
      <c r="AC482" s="3" t="str">
        <f t="shared" si="28"/>
        <v>15:00</v>
      </c>
      <c r="AD482" s="3">
        <f t="shared" si="29"/>
        <v>0.625</v>
      </c>
      <c r="AE482" s="1">
        <v>49</v>
      </c>
      <c r="AF482" s="1">
        <v>10</v>
      </c>
      <c r="AG482" s="1">
        <v>0</v>
      </c>
    </row>
    <row r="483" spans="28:33" x14ac:dyDescent="0.3">
      <c r="AB483" s="3">
        <v>0.625694444444444</v>
      </c>
      <c r="AC483" s="3" t="str">
        <f t="shared" si="28"/>
        <v>15:01</v>
      </c>
      <c r="AD483" s="3">
        <f t="shared" si="29"/>
        <v>0.62569444444444444</v>
      </c>
      <c r="AE483" s="1">
        <v>49</v>
      </c>
      <c r="AF483" s="1">
        <v>10</v>
      </c>
      <c r="AG483" s="1">
        <v>1</v>
      </c>
    </row>
    <row r="484" spans="28:33" x14ac:dyDescent="0.3">
      <c r="AB484" s="3">
        <v>0.626388888888888</v>
      </c>
      <c r="AC484" s="3" t="str">
        <f t="shared" si="28"/>
        <v>15:02</v>
      </c>
      <c r="AD484" s="3">
        <f t="shared" si="29"/>
        <v>0.62638888888888888</v>
      </c>
      <c r="AE484" s="1">
        <v>49</v>
      </c>
      <c r="AF484" s="1">
        <v>10</v>
      </c>
      <c r="AG484" s="1">
        <v>2</v>
      </c>
    </row>
    <row r="485" spans="28:33" x14ac:dyDescent="0.3">
      <c r="AB485" s="3">
        <v>0.62708333333333199</v>
      </c>
      <c r="AC485" s="3" t="str">
        <f t="shared" si="28"/>
        <v>15:03</v>
      </c>
      <c r="AD485" s="3">
        <f t="shared" si="29"/>
        <v>0.62708333333333333</v>
      </c>
      <c r="AE485" s="1">
        <v>49</v>
      </c>
      <c r="AF485" s="1">
        <v>10</v>
      </c>
      <c r="AG485" s="1">
        <v>3</v>
      </c>
    </row>
    <row r="486" spans="28:33" x14ac:dyDescent="0.3">
      <c r="AB486" s="3">
        <v>0.62777777777777699</v>
      </c>
      <c r="AC486" s="3" t="str">
        <f t="shared" si="28"/>
        <v>15:04</v>
      </c>
      <c r="AD486" s="3">
        <f t="shared" si="29"/>
        <v>0.62777777777777777</v>
      </c>
      <c r="AE486" s="1">
        <v>49</v>
      </c>
      <c r="AF486" s="1">
        <v>10</v>
      </c>
      <c r="AG486" s="1">
        <v>4</v>
      </c>
    </row>
    <row r="487" spans="28:33" x14ac:dyDescent="0.3">
      <c r="AB487" s="3">
        <v>0.62847222222222099</v>
      </c>
      <c r="AC487" s="3" t="str">
        <f t="shared" si="28"/>
        <v>15:05</v>
      </c>
      <c r="AD487" s="3">
        <f t="shared" si="29"/>
        <v>0.62847222222222221</v>
      </c>
      <c r="AE487" s="1">
        <v>49</v>
      </c>
      <c r="AF487" s="1">
        <v>10</v>
      </c>
      <c r="AG487" s="1">
        <v>5</v>
      </c>
    </row>
    <row r="488" spans="28:33" x14ac:dyDescent="0.3">
      <c r="AB488" s="3">
        <v>0.62916666666666599</v>
      </c>
      <c r="AC488" s="3" t="str">
        <f t="shared" si="28"/>
        <v>15:06</v>
      </c>
      <c r="AD488" s="3">
        <f t="shared" si="29"/>
        <v>0.62916666666666665</v>
      </c>
      <c r="AE488" s="1">
        <v>49</v>
      </c>
      <c r="AF488" s="1">
        <v>10</v>
      </c>
      <c r="AG488" s="1">
        <v>6</v>
      </c>
    </row>
    <row r="489" spans="28:33" x14ac:dyDescent="0.3">
      <c r="AB489" s="3">
        <v>0.62986111111110998</v>
      </c>
      <c r="AC489" s="3" t="str">
        <f t="shared" si="28"/>
        <v>15:07</v>
      </c>
      <c r="AD489" s="3">
        <f t="shared" si="29"/>
        <v>0.62986111111111109</v>
      </c>
      <c r="AE489" s="1">
        <v>49</v>
      </c>
      <c r="AF489" s="1">
        <v>10</v>
      </c>
      <c r="AG489" s="1">
        <v>7</v>
      </c>
    </row>
    <row r="490" spans="28:33" x14ac:dyDescent="0.3">
      <c r="AB490" s="3">
        <v>0.63055555555555498</v>
      </c>
      <c r="AC490" s="3" t="str">
        <f t="shared" si="28"/>
        <v>15:08</v>
      </c>
      <c r="AD490" s="3">
        <f t="shared" si="29"/>
        <v>0.63055555555555554</v>
      </c>
      <c r="AE490" s="1">
        <v>49</v>
      </c>
      <c r="AF490" s="1">
        <v>10</v>
      </c>
      <c r="AG490" s="1">
        <v>8</v>
      </c>
    </row>
    <row r="491" spans="28:33" x14ac:dyDescent="0.3">
      <c r="AB491" s="3">
        <v>0.63124999999999898</v>
      </c>
      <c r="AC491" s="3" t="str">
        <f t="shared" si="28"/>
        <v>15:09</v>
      </c>
      <c r="AD491" s="3">
        <f t="shared" si="29"/>
        <v>0.63124999999999998</v>
      </c>
      <c r="AE491" s="1">
        <v>49</v>
      </c>
      <c r="AF491" s="1">
        <v>10</v>
      </c>
      <c r="AG491" s="1">
        <v>9</v>
      </c>
    </row>
    <row r="492" spans="28:33" x14ac:dyDescent="0.3">
      <c r="AB492" s="3">
        <v>0.63194444444444398</v>
      </c>
      <c r="AC492" s="3" t="str">
        <f t="shared" si="28"/>
        <v>15:10</v>
      </c>
      <c r="AD492" s="3">
        <f t="shared" si="29"/>
        <v>0.63194444444444442</v>
      </c>
      <c r="AE492" s="1">
        <v>50</v>
      </c>
      <c r="AF492" s="1">
        <v>10</v>
      </c>
      <c r="AG492" s="1">
        <v>0</v>
      </c>
    </row>
    <row r="493" spans="28:33" x14ac:dyDescent="0.3">
      <c r="AB493" s="3">
        <v>0.63263888888888797</v>
      </c>
      <c r="AC493" s="3" t="str">
        <f t="shared" si="28"/>
        <v>15:11</v>
      </c>
      <c r="AD493" s="3">
        <f t="shared" si="29"/>
        <v>0.63263888888888886</v>
      </c>
      <c r="AE493" s="1">
        <v>50</v>
      </c>
      <c r="AF493" s="1">
        <v>10</v>
      </c>
      <c r="AG493" s="1">
        <v>1</v>
      </c>
    </row>
    <row r="494" spans="28:33" x14ac:dyDescent="0.3">
      <c r="AB494" s="3">
        <v>0.63333333333333197</v>
      </c>
      <c r="AC494" s="3" t="str">
        <f t="shared" si="28"/>
        <v>15:12</v>
      </c>
      <c r="AD494" s="3">
        <f t="shared" si="29"/>
        <v>0.6333333333333333</v>
      </c>
      <c r="AE494" s="1">
        <v>50</v>
      </c>
      <c r="AF494" s="1">
        <v>10</v>
      </c>
      <c r="AG494" s="1">
        <v>2</v>
      </c>
    </row>
    <row r="495" spans="28:33" x14ac:dyDescent="0.3">
      <c r="AB495" s="3">
        <v>0.63402777777777697</v>
      </c>
      <c r="AC495" s="3" t="str">
        <f t="shared" si="28"/>
        <v>15:13</v>
      </c>
      <c r="AD495" s="3">
        <f t="shared" si="29"/>
        <v>0.63402777777777775</v>
      </c>
      <c r="AE495" s="1">
        <v>50</v>
      </c>
      <c r="AF495" s="1">
        <v>10</v>
      </c>
      <c r="AG495" s="1">
        <v>3</v>
      </c>
    </row>
    <row r="496" spans="28:33" x14ac:dyDescent="0.3">
      <c r="AB496" s="3">
        <v>0.63472222222222097</v>
      </c>
      <c r="AC496" s="3" t="str">
        <f t="shared" si="28"/>
        <v>15:14</v>
      </c>
      <c r="AD496" s="3">
        <f t="shared" si="29"/>
        <v>0.63472222222222219</v>
      </c>
      <c r="AE496" s="1">
        <v>50</v>
      </c>
      <c r="AF496" s="1">
        <v>10</v>
      </c>
      <c r="AG496" s="1">
        <v>4</v>
      </c>
    </row>
    <row r="497" spans="28:33" x14ac:dyDescent="0.3">
      <c r="AB497" s="3">
        <v>0.63541666666666596</v>
      </c>
      <c r="AC497" s="3" t="str">
        <f t="shared" si="28"/>
        <v>15:15</v>
      </c>
      <c r="AD497" s="3">
        <f t="shared" si="29"/>
        <v>0.63541666666666663</v>
      </c>
      <c r="AE497" s="1">
        <v>50</v>
      </c>
      <c r="AF497" s="1">
        <v>10</v>
      </c>
      <c r="AG497" s="1">
        <v>5</v>
      </c>
    </row>
    <row r="498" spans="28:33" x14ac:dyDescent="0.3">
      <c r="AB498" s="3">
        <v>0.63611111111110996</v>
      </c>
      <c r="AC498" s="3" t="str">
        <f t="shared" si="28"/>
        <v>15:16</v>
      </c>
      <c r="AD498" s="3">
        <f t="shared" si="29"/>
        <v>0.63611111111111118</v>
      </c>
      <c r="AE498" s="1">
        <v>50</v>
      </c>
      <c r="AF498" s="1">
        <v>10</v>
      </c>
      <c r="AG498" s="1">
        <v>6</v>
      </c>
    </row>
    <row r="499" spans="28:33" x14ac:dyDescent="0.3">
      <c r="AB499" s="3">
        <v>0.63680555555555496</v>
      </c>
      <c r="AC499" s="3" t="str">
        <f t="shared" si="28"/>
        <v>15:17</v>
      </c>
      <c r="AD499" s="3">
        <f t="shared" si="29"/>
        <v>0.63680555555555551</v>
      </c>
      <c r="AE499" s="1">
        <v>50</v>
      </c>
      <c r="AF499" s="1">
        <v>10</v>
      </c>
      <c r="AG499" s="1">
        <v>7</v>
      </c>
    </row>
    <row r="500" spans="28:33" x14ac:dyDescent="0.3">
      <c r="AB500" s="3">
        <v>0.63749999999999896</v>
      </c>
      <c r="AC500" s="3" t="str">
        <f t="shared" si="28"/>
        <v>15:18</v>
      </c>
      <c r="AD500" s="3">
        <f t="shared" si="29"/>
        <v>0.63750000000000007</v>
      </c>
      <c r="AE500" s="1">
        <v>50</v>
      </c>
      <c r="AF500" s="1">
        <v>10</v>
      </c>
      <c r="AG500" s="1">
        <v>8</v>
      </c>
    </row>
    <row r="501" spans="28:33" x14ac:dyDescent="0.3">
      <c r="AB501" s="3">
        <v>0.63819444444444395</v>
      </c>
      <c r="AC501" s="3" t="str">
        <f t="shared" si="28"/>
        <v>15:19</v>
      </c>
      <c r="AD501" s="3">
        <f t="shared" si="29"/>
        <v>0.6381944444444444</v>
      </c>
      <c r="AE501" s="1">
        <v>50</v>
      </c>
      <c r="AF501" s="1">
        <v>10</v>
      </c>
      <c r="AG501" s="1">
        <v>9</v>
      </c>
    </row>
    <row r="502" spans="28:33" x14ac:dyDescent="0.3">
      <c r="AB502" s="3">
        <v>0.63888888888888795</v>
      </c>
      <c r="AC502" s="3" t="str">
        <f t="shared" si="28"/>
        <v>15:20</v>
      </c>
      <c r="AD502" s="3">
        <f t="shared" si="29"/>
        <v>0.63888888888888895</v>
      </c>
      <c r="AE502" s="1">
        <v>51</v>
      </c>
      <c r="AF502" s="1">
        <v>10</v>
      </c>
      <c r="AG502" s="1">
        <v>0</v>
      </c>
    </row>
    <row r="503" spans="28:33" x14ac:dyDescent="0.3">
      <c r="AB503" s="3">
        <v>0.63958333333333195</v>
      </c>
      <c r="AC503" s="3" t="str">
        <f t="shared" si="28"/>
        <v>15:21</v>
      </c>
      <c r="AD503" s="3">
        <f t="shared" si="29"/>
        <v>0.63958333333333328</v>
      </c>
      <c r="AE503" s="1">
        <v>51</v>
      </c>
      <c r="AF503" s="1">
        <v>10</v>
      </c>
      <c r="AG503" s="1">
        <v>1</v>
      </c>
    </row>
    <row r="504" spans="28:33" x14ac:dyDescent="0.3">
      <c r="AB504" s="3">
        <v>0.64027777777777695</v>
      </c>
      <c r="AC504" s="3" t="str">
        <f t="shared" si="28"/>
        <v>15:22</v>
      </c>
      <c r="AD504" s="3">
        <f t="shared" si="29"/>
        <v>0.64027777777777783</v>
      </c>
      <c r="AE504" s="1">
        <v>51</v>
      </c>
      <c r="AF504" s="1">
        <v>10</v>
      </c>
      <c r="AG504" s="1">
        <v>2</v>
      </c>
    </row>
    <row r="505" spans="28:33" x14ac:dyDescent="0.3">
      <c r="AB505" s="3">
        <v>0.64097222222222106</v>
      </c>
      <c r="AC505" s="3" t="str">
        <f t="shared" si="28"/>
        <v>15:23</v>
      </c>
      <c r="AD505" s="3">
        <f t="shared" si="29"/>
        <v>0.64097222222222217</v>
      </c>
      <c r="AE505" s="1">
        <v>51</v>
      </c>
      <c r="AF505" s="1">
        <v>10</v>
      </c>
      <c r="AG505" s="1">
        <v>3</v>
      </c>
    </row>
    <row r="506" spans="28:33" x14ac:dyDescent="0.3">
      <c r="AB506" s="3">
        <v>0.64166666666666605</v>
      </c>
      <c r="AC506" s="3" t="str">
        <f t="shared" si="28"/>
        <v>15:24</v>
      </c>
      <c r="AD506" s="3">
        <f t="shared" si="29"/>
        <v>0.64166666666666672</v>
      </c>
      <c r="AE506" s="1">
        <v>51</v>
      </c>
      <c r="AF506" s="1">
        <v>10</v>
      </c>
      <c r="AG506" s="1">
        <v>4</v>
      </c>
    </row>
    <row r="507" spans="28:33" x14ac:dyDescent="0.3">
      <c r="AB507" s="3">
        <v>0.64236111111111005</v>
      </c>
      <c r="AC507" s="3" t="str">
        <f t="shared" si="28"/>
        <v>15:25</v>
      </c>
      <c r="AD507" s="3">
        <f t="shared" si="29"/>
        <v>0.64236111111111105</v>
      </c>
      <c r="AE507" s="1">
        <v>51</v>
      </c>
      <c r="AF507" s="1">
        <v>10</v>
      </c>
      <c r="AG507" s="1">
        <v>5</v>
      </c>
    </row>
    <row r="508" spans="28:33" x14ac:dyDescent="0.3">
      <c r="AB508" s="3">
        <v>0.64305555555555505</v>
      </c>
      <c r="AC508" s="3" t="str">
        <f t="shared" si="28"/>
        <v>15:26</v>
      </c>
      <c r="AD508" s="3">
        <f t="shared" si="29"/>
        <v>0.6430555555555556</v>
      </c>
      <c r="AE508" s="1">
        <v>51</v>
      </c>
      <c r="AF508" s="1">
        <v>10</v>
      </c>
      <c r="AG508" s="1">
        <v>6</v>
      </c>
    </row>
    <row r="509" spans="28:33" x14ac:dyDescent="0.3">
      <c r="AB509" s="3">
        <v>0.64374999999999905</v>
      </c>
      <c r="AC509" s="3" t="str">
        <f t="shared" si="28"/>
        <v>15:27</v>
      </c>
      <c r="AD509" s="3">
        <f t="shared" si="29"/>
        <v>0.64374999999999993</v>
      </c>
      <c r="AE509" s="1">
        <v>51</v>
      </c>
      <c r="AF509" s="1">
        <v>10</v>
      </c>
      <c r="AG509" s="1">
        <v>7</v>
      </c>
    </row>
    <row r="510" spans="28:33" x14ac:dyDescent="0.3">
      <c r="AB510" s="3">
        <v>0.64444444444444404</v>
      </c>
      <c r="AC510" s="3" t="str">
        <f t="shared" si="28"/>
        <v>15:28</v>
      </c>
      <c r="AD510" s="3">
        <f t="shared" si="29"/>
        <v>0.64444444444444449</v>
      </c>
      <c r="AE510" s="1">
        <v>51</v>
      </c>
      <c r="AF510" s="1">
        <v>10</v>
      </c>
      <c r="AG510" s="1">
        <v>8</v>
      </c>
    </row>
    <row r="511" spans="28:33" x14ac:dyDescent="0.3">
      <c r="AB511" s="3">
        <v>0.64513888888888804</v>
      </c>
      <c r="AC511" s="3" t="str">
        <f t="shared" si="28"/>
        <v>15:29</v>
      </c>
      <c r="AD511" s="3">
        <f t="shared" si="29"/>
        <v>0.64513888888888882</v>
      </c>
      <c r="AE511" s="1">
        <v>51</v>
      </c>
      <c r="AF511" s="1">
        <v>10</v>
      </c>
      <c r="AG511" s="1">
        <v>9</v>
      </c>
    </row>
    <row r="512" spans="28:33" x14ac:dyDescent="0.3">
      <c r="AB512" s="3">
        <v>0.64583333333333204</v>
      </c>
      <c r="AC512" s="3" t="str">
        <f t="shared" si="28"/>
        <v>15:30</v>
      </c>
      <c r="AD512" s="3">
        <f t="shared" si="29"/>
        <v>0.64583333333333337</v>
      </c>
      <c r="AE512" s="1">
        <v>52</v>
      </c>
      <c r="AF512" s="1">
        <v>10</v>
      </c>
      <c r="AG512" s="1">
        <v>0</v>
      </c>
    </row>
    <row r="513" spans="28:33" x14ac:dyDescent="0.3">
      <c r="AB513" s="3">
        <v>0.64652777777777704</v>
      </c>
      <c r="AC513" s="3" t="str">
        <f t="shared" si="28"/>
        <v>15:31</v>
      </c>
      <c r="AD513" s="3">
        <f t="shared" si="29"/>
        <v>0.64652777777777781</v>
      </c>
      <c r="AE513" s="1">
        <v>52</v>
      </c>
      <c r="AF513" s="1">
        <v>10</v>
      </c>
      <c r="AG513" s="1">
        <v>1</v>
      </c>
    </row>
    <row r="514" spans="28:33" x14ac:dyDescent="0.3">
      <c r="AB514" s="3">
        <v>0.64722222222222103</v>
      </c>
      <c r="AC514" s="3" t="str">
        <f t="shared" si="28"/>
        <v>15:32</v>
      </c>
      <c r="AD514" s="3">
        <f t="shared" si="29"/>
        <v>0.64722222222222225</v>
      </c>
      <c r="AE514" s="1">
        <v>52</v>
      </c>
      <c r="AF514" s="1">
        <v>10</v>
      </c>
      <c r="AG514" s="1">
        <v>2</v>
      </c>
    </row>
    <row r="515" spans="28:33" x14ac:dyDescent="0.3">
      <c r="AB515" s="3">
        <v>0.64791666666666603</v>
      </c>
      <c r="AC515" s="3" t="str">
        <f t="shared" ref="AC515:AC578" si="30">TEXT(AB515,"hh:mm")</f>
        <v>15:33</v>
      </c>
      <c r="AD515" s="3">
        <f t="shared" ref="AD515:AD578" si="31">VALUE(AC515)</f>
        <v>0.6479166666666667</v>
      </c>
      <c r="AE515" s="1">
        <v>52</v>
      </c>
      <c r="AF515" s="1">
        <v>10</v>
      </c>
      <c r="AG515" s="1">
        <v>3</v>
      </c>
    </row>
    <row r="516" spans="28:33" x14ac:dyDescent="0.3">
      <c r="AB516" s="3">
        <v>0.64861111111111003</v>
      </c>
      <c r="AC516" s="3" t="str">
        <f t="shared" si="30"/>
        <v>15:34</v>
      </c>
      <c r="AD516" s="3">
        <f t="shared" si="31"/>
        <v>0.64861111111111114</v>
      </c>
      <c r="AE516" s="1">
        <v>52</v>
      </c>
      <c r="AF516" s="1">
        <v>10</v>
      </c>
      <c r="AG516" s="1">
        <v>4</v>
      </c>
    </row>
    <row r="517" spans="28:33" x14ac:dyDescent="0.3">
      <c r="AB517" s="3">
        <v>0.64930555555555503</v>
      </c>
      <c r="AC517" s="3" t="str">
        <f t="shared" si="30"/>
        <v>15:35</v>
      </c>
      <c r="AD517" s="3">
        <f t="shared" si="31"/>
        <v>0.64930555555555558</v>
      </c>
      <c r="AE517" s="1">
        <v>52</v>
      </c>
      <c r="AF517" s="1">
        <v>10</v>
      </c>
      <c r="AG517" s="1">
        <v>5</v>
      </c>
    </row>
    <row r="518" spans="28:33" x14ac:dyDescent="0.3">
      <c r="AB518" s="3">
        <v>0.64999999999999902</v>
      </c>
      <c r="AC518" s="3" t="str">
        <f t="shared" si="30"/>
        <v>15:36</v>
      </c>
      <c r="AD518" s="3">
        <f t="shared" si="31"/>
        <v>0.65</v>
      </c>
      <c r="AE518" s="1">
        <v>52</v>
      </c>
      <c r="AF518" s="1">
        <v>10</v>
      </c>
      <c r="AG518" s="1">
        <v>6</v>
      </c>
    </row>
    <row r="519" spans="28:33" x14ac:dyDescent="0.3">
      <c r="AB519" s="3">
        <v>0.65069444444444402</v>
      </c>
      <c r="AC519" s="3" t="str">
        <f t="shared" si="30"/>
        <v>15:37</v>
      </c>
      <c r="AD519" s="3">
        <f t="shared" si="31"/>
        <v>0.65069444444444446</v>
      </c>
      <c r="AE519" s="1">
        <v>52</v>
      </c>
      <c r="AF519" s="1">
        <v>10</v>
      </c>
      <c r="AG519" s="1">
        <v>7</v>
      </c>
    </row>
    <row r="520" spans="28:33" x14ac:dyDescent="0.3">
      <c r="AB520" s="3">
        <v>0.65138888888888802</v>
      </c>
      <c r="AC520" s="3" t="str">
        <f t="shared" si="30"/>
        <v>15:38</v>
      </c>
      <c r="AD520" s="3">
        <f t="shared" si="31"/>
        <v>0.65138888888888891</v>
      </c>
      <c r="AE520" s="1">
        <v>52</v>
      </c>
      <c r="AF520" s="1">
        <v>10</v>
      </c>
      <c r="AG520" s="1">
        <v>8</v>
      </c>
    </row>
    <row r="521" spans="28:33" x14ac:dyDescent="0.3">
      <c r="AB521" s="3">
        <v>0.65208333333333202</v>
      </c>
      <c r="AC521" s="3" t="str">
        <f t="shared" si="30"/>
        <v>15:39</v>
      </c>
      <c r="AD521" s="3">
        <f t="shared" si="31"/>
        <v>0.65208333333333335</v>
      </c>
      <c r="AE521" s="1">
        <v>52</v>
      </c>
      <c r="AF521" s="1">
        <v>10</v>
      </c>
      <c r="AG521" s="1">
        <v>9</v>
      </c>
    </row>
    <row r="522" spans="28:33" x14ac:dyDescent="0.3">
      <c r="AB522" s="3">
        <v>0.65277777777777701</v>
      </c>
      <c r="AC522" s="3" t="str">
        <f t="shared" si="30"/>
        <v>15:40</v>
      </c>
      <c r="AD522" s="3">
        <f t="shared" si="31"/>
        <v>0.65277777777777779</v>
      </c>
      <c r="AE522" s="1">
        <v>53</v>
      </c>
      <c r="AF522" s="1">
        <v>10</v>
      </c>
      <c r="AG522" s="1">
        <v>0</v>
      </c>
    </row>
    <row r="523" spans="28:33" x14ac:dyDescent="0.3">
      <c r="AB523" s="3">
        <v>0.65347222222222101</v>
      </c>
      <c r="AC523" s="3" t="str">
        <f t="shared" si="30"/>
        <v>15:41</v>
      </c>
      <c r="AD523" s="3">
        <f t="shared" si="31"/>
        <v>0.65347222222222223</v>
      </c>
      <c r="AE523" s="1">
        <v>53</v>
      </c>
      <c r="AF523" s="1">
        <v>10</v>
      </c>
      <c r="AG523" s="1">
        <v>1</v>
      </c>
    </row>
    <row r="524" spans="28:33" x14ac:dyDescent="0.3">
      <c r="AB524" s="3">
        <v>0.65416666666666601</v>
      </c>
      <c r="AC524" s="3" t="str">
        <f t="shared" si="30"/>
        <v>15:42</v>
      </c>
      <c r="AD524" s="3">
        <f t="shared" si="31"/>
        <v>0.65416666666666667</v>
      </c>
      <c r="AE524" s="1">
        <v>53</v>
      </c>
      <c r="AF524" s="1">
        <v>10</v>
      </c>
      <c r="AG524" s="1">
        <v>2</v>
      </c>
    </row>
    <row r="525" spans="28:33" x14ac:dyDescent="0.3">
      <c r="AB525" s="3">
        <v>0.65486111111111001</v>
      </c>
      <c r="AC525" s="3" t="str">
        <f t="shared" si="30"/>
        <v>15:43</v>
      </c>
      <c r="AD525" s="3">
        <f t="shared" si="31"/>
        <v>0.65486111111111112</v>
      </c>
      <c r="AE525" s="1">
        <v>53</v>
      </c>
      <c r="AF525" s="1">
        <v>10</v>
      </c>
      <c r="AG525" s="1">
        <v>3</v>
      </c>
    </row>
    <row r="526" spans="28:33" x14ac:dyDescent="0.3">
      <c r="AB526" s="3">
        <v>0.655555555555555</v>
      </c>
      <c r="AC526" s="3" t="str">
        <f t="shared" si="30"/>
        <v>15:44</v>
      </c>
      <c r="AD526" s="3">
        <f t="shared" si="31"/>
        <v>0.65555555555555556</v>
      </c>
      <c r="AE526" s="1">
        <v>53</v>
      </c>
      <c r="AF526" s="1">
        <v>10</v>
      </c>
      <c r="AG526" s="1">
        <v>4</v>
      </c>
    </row>
    <row r="527" spans="28:33" x14ac:dyDescent="0.3">
      <c r="AB527" s="3">
        <v>0.656249999999999</v>
      </c>
      <c r="AC527" s="3" t="str">
        <f t="shared" si="30"/>
        <v>15:45</v>
      </c>
      <c r="AD527" s="3">
        <f t="shared" si="31"/>
        <v>0.65625</v>
      </c>
      <c r="AE527" s="1">
        <v>53</v>
      </c>
      <c r="AF527" s="1">
        <v>10</v>
      </c>
      <c r="AG527" s="1">
        <v>5</v>
      </c>
    </row>
    <row r="528" spans="28:33" x14ac:dyDescent="0.3">
      <c r="AB528" s="3">
        <v>0.656944444444443</v>
      </c>
      <c r="AC528" s="3" t="str">
        <f t="shared" si="30"/>
        <v>15:46</v>
      </c>
      <c r="AD528" s="3">
        <f t="shared" si="31"/>
        <v>0.65694444444444444</v>
      </c>
      <c r="AE528" s="1">
        <v>53</v>
      </c>
      <c r="AF528" s="1">
        <v>10</v>
      </c>
      <c r="AG528" s="1">
        <v>6</v>
      </c>
    </row>
    <row r="529" spans="28:33" x14ac:dyDescent="0.3">
      <c r="AB529" s="3">
        <v>0.657638888888888</v>
      </c>
      <c r="AC529" s="3" t="str">
        <f t="shared" si="30"/>
        <v>15:47</v>
      </c>
      <c r="AD529" s="3">
        <f t="shared" si="31"/>
        <v>0.65763888888888888</v>
      </c>
      <c r="AE529" s="1">
        <v>53</v>
      </c>
      <c r="AF529" s="1">
        <v>10</v>
      </c>
      <c r="AG529" s="1">
        <v>7</v>
      </c>
    </row>
    <row r="530" spans="28:33" x14ac:dyDescent="0.3">
      <c r="AB530" s="3">
        <v>0.65833333333333199</v>
      </c>
      <c r="AC530" s="3" t="str">
        <f t="shared" si="30"/>
        <v>15:48</v>
      </c>
      <c r="AD530" s="3">
        <f t="shared" si="31"/>
        <v>0.65833333333333333</v>
      </c>
      <c r="AE530" s="1">
        <v>53</v>
      </c>
      <c r="AF530" s="1">
        <v>10</v>
      </c>
      <c r="AG530" s="1">
        <v>8</v>
      </c>
    </row>
    <row r="531" spans="28:33" x14ac:dyDescent="0.3">
      <c r="AB531" s="3">
        <v>0.65902777777777699</v>
      </c>
      <c r="AC531" s="3" t="str">
        <f t="shared" si="30"/>
        <v>15:49</v>
      </c>
      <c r="AD531" s="3">
        <f t="shared" si="31"/>
        <v>0.65902777777777777</v>
      </c>
      <c r="AE531" s="1">
        <v>53</v>
      </c>
      <c r="AF531" s="1">
        <v>10</v>
      </c>
      <c r="AG531" s="1">
        <v>9</v>
      </c>
    </row>
    <row r="532" spans="28:33" x14ac:dyDescent="0.3">
      <c r="AB532" s="3">
        <v>0.65972222222222099</v>
      </c>
      <c r="AC532" s="3" t="str">
        <f t="shared" si="30"/>
        <v>15:50</v>
      </c>
      <c r="AD532" s="3">
        <f t="shared" si="31"/>
        <v>0.65972222222222221</v>
      </c>
      <c r="AE532" s="1">
        <v>54</v>
      </c>
      <c r="AF532" s="1">
        <v>10</v>
      </c>
      <c r="AG532" s="1">
        <v>0</v>
      </c>
    </row>
    <row r="533" spans="28:33" x14ac:dyDescent="0.3">
      <c r="AB533" s="3">
        <v>0.66041666666666599</v>
      </c>
      <c r="AC533" s="3" t="str">
        <f t="shared" si="30"/>
        <v>15:51</v>
      </c>
      <c r="AD533" s="3">
        <f t="shared" si="31"/>
        <v>0.66041666666666665</v>
      </c>
      <c r="AE533" s="1">
        <v>54</v>
      </c>
      <c r="AF533" s="1">
        <v>10</v>
      </c>
      <c r="AG533" s="1">
        <v>1</v>
      </c>
    </row>
    <row r="534" spans="28:33" x14ac:dyDescent="0.3">
      <c r="AB534" s="3">
        <v>0.66111111111110998</v>
      </c>
      <c r="AC534" s="3" t="str">
        <f t="shared" si="30"/>
        <v>15:52</v>
      </c>
      <c r="AD534" s="3">
        <f t="shared" si="31"/>
        <v>0.66111111111111109</v>
      </c>
      <c r="AE534" s="1">
        <v>54</v>
      </c>
      <c r="AF534" s="1">
        <v>10</v>
      </c>
      <c r="AG534" s="1">
        <v>2</v>
      </c>
    </row>
    <row r="535" spans="28:33" x14ac:dyDescent="0.3">
      <c r="AB535" s="3">
        <v>0.66180555555555498</v>
      </c>
      <c r="AC535" s="3" t="str">
        <f t="shared" si="30"/>
        <v>15:53</v>
      </c>
      <c r="AD535" s="3">
        <f t="shared" si="31"/>
        <v>0.66180555555555554</v>
      </c>
      <c r="AE535" s="1">
        <v>54</v>
      </c>
      <c r="AF535" s="1">
        <v>10</v>
      </c>
      <c r="AG535" s="1">
        <v>3</v>
      </c>
    </row>
    <row r="536" spans="28:33" x14ac:dyDescent="0.3">
      <c r="AB536" s="3">
        <v>0.66249999999999898</v>
      </c>
      <c r="AC536" s="3" t="str">
        <f t="shared" si="30"/>
        <v>15:54</v>
      </c>
      <c r="AD536" s="3">
        <f t="shared" si="31"/>
        <v>0.66249999999999998</v>
      </c>
      <c r="AE536" s="1">
        <v>54</v>
      </c>
      <c r="AF536" s="1">
        <v>10</v>
      </c>
      <c r="AG536" s="1">
        <v>4</v>
      </c>
    </row>
    <row r="537" spans="28:33" x14ac:dyDescent="0.3">
      <c r="AB537" s="3">
        <v>0.66319444444444298</v>
      </c>
      <c r="AC537" s="3" t="str">
        <f t="shared" si="30"/>
        <v>15:55</v>
      </c>
      <c r="AD537" s="3">
        <f t="shared" si="31"/>
        <v>0.66319444444444442</v>
      </c>
      <c r="AE537" s="1">
        <v>54</v>
      </c>
      <c r="AF537" s="1">
        <v>10</v>
      </c>
      <c r="AG537" s="1">
        <v>5</v>
      </c>
    </row>
    <row r="538" spans="28:33" x14ac:dyDescent="0.3">
      <c r="AB538" s="3">
        <v>0.66388888888888797</v>
      </c>
      <c r="AC538" s="3" t="str">
        <f t="shared" si="30"/>
        <v>15:56</v>
      </c>
      <c r="AD538" s="3">
        <f t="shared" si="31"/>
        <v>0.66388888888888886</v>
      </c>
      <c r="AE538" s="1">
        <v>54</v>
      </c>
      <c r="AF538" s="1">
        <v>10</v>
      </c>
      <c r="AG538" s="1">
        <v>6</v>
      </c>
    </row>
    <row r="539" spans="28:33" x14ac:dyDescent="0.3">
      <c r="AB539" s="3">
        <v>0.66458333333333197</v>
      </c>
      <c r="AC539" s="3" t="str">
        <f t="shared" si="30"/>
        <v>15:57</v>
      </c>
      <c r="AD539" s="3">
        <f t="shared" si="31"/>
        <v>0.6645833333333333</v>
      </c>
      <c r="AE539" s="1">
        <v>54</v>
      </c>
      <c r="AF539" s="1">
        <v>10</v>
      </c>
      <c r="AG539" s="1">
        <v>7</v>
      </c>
    </row>
    <row r="540" spans="28:33" x14ac:dyDescent="0.3">
      <c r="AB540" s="3">
        <v>0.66527777777777697</v>
      </c>
      <c r="AC540" s="3" t="str">
        <f t="shared" si="30"/>
        <v>15:58</v>
      </c>
      <c r="AD540" s="3">
        <f t="shared" si="31"/>
        <v>0.66527777777777775</v>
      </c>
      <c r="AE540" s="1">
        <v>54</v>
      </c>
      <c r="AF540" s="1">
        <v>10</v>
      </c>
      <c r="AG540" s="1">
        <v>8</v>
      </c>
    </row>
    <row r="541" spans="28:33" x14ac:dyDescent="0.3">
      <c r="AB541" s="3">
        <v>0.66597222222222097</v>
      </c>
      <c r="AC541" s="3" t="str">
        <f t="shared" si="30"/>
        <v>15:59</v>
      </c>
      <c r="AD541" s="3">
        <f t="shared" si="31"/>
        <v>0.66597222222222219</v>
      </c>
      <c r="AE541" s="1">
        <v>54</v>
      </c>
      <c r="AF541" s="1">
        <v>10</v>
      </c>
      <c r="AG541" s="1">
        <v>9</v>
      </c>
    </row>
    <row r="542" spans="28:33" x14ac:dyDescent="0.3">
      <c r="AB542" s="3">
        <v>0.66666666666666596</v>
      </c>
      <c r="AC542" s="3" t="str">
        <f t="shared" si="30"/>
        <v>16:00</v>
      </c>
      <c r="AD542" s="3">
        <f t="shared" si="31"/>
        <v>0.66666666666666663</v>
      </c>
      <c r="AE542" s="1">
        <v>55</v>
      </c>
      <c r="AF542" s="1">
        <v>10</v>
      </c>
      <c r="AG542" s="1">
        <v>0</v>
      </c>
    </row>
    <row r="543" spans="28:33" x14ac:dyDescent="0.3">
      <c r="AB543" s="3">
        <v>0.66736111111110996</v>
      </c>
      <c r="AC543" s="3" t="str">
        <f t="shared" si="30"/>
        <v>16:01</v>
      </c>
      <c r="AD543" s="3">
        <f t="shared" si="31"/>
        <v>0.66736111111111107</v>
      </c>
      <c r="AE543" s="1">
        <v>55</v>
      </c>
      <c r="AF543" s="1">
        <v>10</v>
      </c>
      <c r="AG543" s="1">
        <v>1</v>
      </c>
    </row>
    <row r="544" spans="28:33" x14ac:dyDescent="0.3">
      <c r="AB544" s="3">
        <v>0.66805555555555496</v>
      </c>
      <c r="AC544" s="3" t="str">
        <f t="shared" si="30"/>
        <v>16:02</v>
      </c>
      <c r="AD544" s="3">
        <f t="shared" si="31"/>
        <v>0.66805555555555562</v>
      </c>
      <c r="AE544" s="1">
        <v>55</v>
      </c>
      <c r="AF544" s="1">
        <v>10</v>
      </c>
      <c r="AG544" s="1">
        <v>2</v>
      </c>
    </row>
    <row r="545" spans="28:33" x14ac:dyDescent="0.3">
      <c r="AB545" s="3">
        <v>0.66874999999999896</v>
      </c>
      <c r="AC545" s="3" t="str">
        <f t="shared" si="30"/>
        <v>16:03</v>
      </c>
      <c r="AD545" s="3">
        <f t="shared" si="31"/>
        <v>0.66875000000000007</v>
      </c>
      <c r="AE545" s="1">
        <v>55</v>
      </c>
      <c r="AF545" s="1">
        <v>10</v>
      </c>
      <c r="AG545" s="1">
        <v>3</v>
      </c>
    </row>
    <row r="546" spans="28:33" x14ac:dyDescent="0.3">
      <c r="AB546" s="3">
        <v>0.66944444444444295</v>
      </c>
      <c r="AC546" s="3" t="str">
        <f t="shared" si="30"/>
        <v>16:04</v>
      </c>
      <c r="AD546" s="3">
        <f t="shared" si="31"/>
        <v>0.6694444444444444</v>
      </c>
      <c r="AE546" s="1">
        <v>55</v>
      </c>
      <c r="AF546" s="1">
        <v>10</v>
      </c>
      <c r="AG546" s="1">
        <v>4</v>
      </c>
    </row>
    <row r="547" spans="28:33" x14ac:dyDescent="0.3">
      <c r="AB547" s="3">
        <v>0.67013888888888795</v>
      </c>
      <c r="AC547" s="3" t="str">
        <f t="shared" si="30"/>
        <v>16:05</v>
      </c>
      <c r="AD547" s="3">
        <f t="shared" si="31"/>
        <v>0.67013888888888884</v>
      </c>
      <c r="AE547" s="1">
        <v>55</v>
      </c>
      <c r="AF547" s="1">
        <v>10</v>
      </c>
      <c r="AG547" s="1">
        <v>5</v>
      </c>
    </row>
    <row r="548" spans="28:33" x14ac:dyDescent="0.3">
      <c r="AB548" s="3">
        <v>0.67083333333333195</v>
      </c>
      <c r="AC548" s="3" t="str">
        <f t="shared" si="30"/>
        <v>16:06</v>
      </c>
      <c r="AD548" s="3">
        <f t="shared" si="31"/>
        <v>0.67083333333333339</v>
      </c>
      <c r="AE548" s="1">
        <v>55</v>
      </c>
      <c r="AF548" s="1">
        <v>10</v>
      </c>
      <c r="AG548" s="1">
        <v>6</v>
      </c>
    </row>
    <row r="549" spans="28:33" x14ac:dyDescent="0.3">
      <c r="AB549" s="3">
        <v>0.67152777777777695</v>
      </c>
      <c r="AC549" s="3" t="str">
        <f t="shared" si="30"/>
        <v>16:07</v>
      </c>
      <c r="AD549" s="3">
        <f t="shared" si="31"/>
        <v>0.67152777777777783</v>
      </c>
      <c r="AE549" s="1">
        <v>55</v>
      </c>
      <c r="AF549" s="1">
        <v>10</v>
      </c>
      <c r="AG549" s="1">
        <v>7</v>
      </c>
    </row>
    <row r="550" spans="28:33" x14ac:dyDescent="0.3">
      <c r="AB550" s="3">
        <v>0.67222222222222106</v>
      </c>
      <c r="AC550" s="3" t="str">
        <f t="shared" si="30"/>
        <v>16:08</v>
      </c>
      <c r="AD550" s="3">
        <f t="shared" si="31"/>
        <v>0.67222222222222217</v>
      </c>
      <c r="AE550" s="1">
        <v>55</v>
      </c>
      <c r="AF550" s="1">
        <v>10</v>
      </c>
      <c r="AG550" s="1">
        <v>8</v>
      </c>
    </row>
    <row r="551" spans="28:33" x14ac:dyDescent="0.3">
      <c r="AB551" s="3">
        <v>0.67291666666666605</v>
      </c>
      <c r="AC551" s="3" t="str">
        <f t="shared" si="30"/>
        <v>16:09</v>
      </c>
      <c r="AD551" s="3">
        <f t="shared" si="31"/>
        <v>0.67291666666666661</v>
      </c>
      <c r="AE551" s="1">
        <v>55</v>
      </c>
      <c r="AF551" s="1">
        <v>10</v>
      </c>
      <c r="AG551" s="1">
        <v>9</v>
      </c>
    </row>
    <row r="552" spans="28:33" x14ac:dyDescent="0.3">
      <c r="AB552" s="3">
        <v>0.67361111111111005</v>
      </c>
      <c r="AC552" s="3" t="str">
        <f t="shared" si="30"/>
        <v>16:10</v>
      </c>
      <c r="AD552" s="3">
        <f t="shared" si="31"/>
        <v>0.67361111111111116</v>
      </c>
      <c r="AE552" s="1">
        <v>56</v>
      </c>
      <c r="AF552" s="1">
        <v>10</v>
      </c>
      <c r="AG552" s="1">
        <v>0</v>
      </c>
    </row>
    <row r="553" spans="28:33" x14ac:dyDescent="0.3">
      <c r="AB553" s="3">
        <v>0.67430555555555505</v>
      </c>
      <c r="AC553" s="3" t="str">
        <f t="shared" si="30"/>
        <v>16:11</v>
      </c>
      <c r="AD553" s="3">
        <f t="shared" si="31"/>
        <v>0.6743055555555556</v>
      </c>
      <c r="AE553" s="1">
        <v>56</v>
      </c>
      <c r="AF553" s="1">
        <v>10</v>
      </c>
      <c r="AG553" s="1">
        <v>1</v>
      </c>
    </row>
    <row r="554" spans="28:33" x14ac:dyDescent="0.3">
      <c r="AB554" s="3">
        <v>0.67499999999999905</v>
      </c>
      <c r="AC554" s="3" t="str">
        <f t="shared" si="30"/>
        <v>16:12</v>
      </c>
      <c r="AD554" s="3">
        <f t="shared" si="31"/>
        <v>0.67499999999999993</v>
      </c>
      <c r="AE554" s="1">
        <v>56</v>
      </c>
      <c r="AF554" s="1">
        <v>10</v>
      </c>
      <c r="AG554" s="1">
        <v>2</v>
      </c>
    </row>
    <row r="555" spans="28:33" x14ac:dyDescent="0.3">
      <c r="AB555" s="3">
        <v>0.67569444444444304</v>
      </c>
      <c r="AC555" s="3" t="str">
        <f t="shared" si="30"/>
        <v>16:13</v>
      </c>
      <c r="AD555" s="3">
        <f t="shared" si="31"/>
        <v>0.67569444444444438</v>
      </c>
      <c r="AE555" s="1">
        <v>56</v>
      </c>
      <c r="AF555" s="1">
        <v>10</v>
      </c>
      <c r="AG555" s="1">
        <v>3</v>
      </c>
    </row>
    <row r="556" spans="28:33" x14ac:dyDescent="0.3">
      <c r="AB556" s="3">
        <v>0.67638888888888804</v>
      </c>
      <c r="AC556" s="3" t="str">
        <f t="shared" si="30"/>
        <v>16:14</v>
      </c>
      <c r="AD556" s="3">
        <f t="shared" si="31"/>
        <v>0.67638888888888893</v>
      </c>
      <c r="AE556" s="1">
        <v>56</v>
      </c>
      <c r="AF556" s="1">
        <v>10</v>
      </c>
      <c r="AG556" s="1">
        <v>4</v>
      </c>
    </row>
    <row r="557" spans="28:33" x14ac:dyDescent="0.3">
      <c r="AB557" s="3">
        <v>0.67708333333333204</v>
      </c>
      <c r="AC557" s="3" t="str">
        <f t="shared" si="30"/>
        <v>16:15</v>
      </c>
      <c r="AD557" s="3">
        <f t="shared" si="31"/>
        <v>0.67708333333333337</v>
      </c>
      <c r="AE557" s="1">
        <v>56</v>
      </c>
      <c r="AF557" s="1">
        <v>10</v>
      </c>
      <c r="AG557" s="1">
        <v>5</v>
      </c>
    </row>
    <row r="558" spans="28:33" x14ac:dyDescent="0.3">
      <c r="AB558" s="3">
        <v>0.67777777777777704</v>
      </c>
      <c r="AC558" s="3" t="str">
        <f t="shared" si="30"/>
        <v>16:16</v>
      </c>
      <c r="AD558" s="3">
        <f t="shared" si="31"/>
        <v>0.6777777777777777</v>
      </c>
      <c r="AE558" s="1">
        <v>56</v>
      </c>
      <c r="AF558" s="1">
        <v>10</v>
      </c>
      <c r="AG558" s="1">
        <v>6</v>
      </c>
    </row>
    <row r="559" spans="28:33" x14ac:dyDescent="0.3">
      <c r="AB559" s="3">
        <v>0.67847222222222103</v>
      </c>
      <c r="AC559" s="3" t="str">
        <f t="shared" si="30"/>
        <v>16:17</v>
      </c>
      <c r="AD559" s="3">
        <f t="shared" si="31"/>
        <v>0.67847222222222225</v>
      </c>
      <c r="AE559" s="1">
        <v>56</v>
      </c>
      <c r="AF559" s="1">
        <v>10</v>
      </c>
      <c r="AG559" s="1">
        <v>7</v>
      </c>
    </row>
    <row r="560" spans="28:33" x14ac:dyDescent="0.3">
      <c r="AB560" s="3">
        <v>0.67916666666666603</v>
      </c>
      <c r="AC560" s="3" t="str">
        <f t="shared" si="30"/>
        <v>16:18</v>
      </c>
      <c r="AD560" s="3">
        <f t="shared" si="31"/>
        <v>0.6791666666666667</v>
      </c>
      <c r="AE560" s="1">
        <v>56</v>
      </c>
      <c r="AF560" s="1">
        <v>10</v>
      </c>
      <c r="AG560" s="1">
        <v>8</v>
      </c>
    </row>
    <row r="561" spans="28:33" x14ac:dyDescent="0.3">
      <c r="AB561" s="3">
        <v>0.67986111111111003</v>
      </c>
      <c r="AC561" s="3" t="str">
        <f t="shared" si="30"/>
        <v>16:19</v>
      </c>
      <c r="AD561" s="3">
        <f t="shared" si="31"/>
        <v>0.67986111111111114</v>
      </c>
      <c r="AE561" s="1">
        <v>56</v>
      </c>
      <c r="AF561" s="1">
        <v>10</v>
      </c>
      <c r="AG561" s="1">
        <v>9</v>
      </c>
    </row>
    <row r="562" spans="28:33" x14ac:dyDescent="0.3">
      <c r="AB562" s="3">
        <v>0.68055555555555503</v>
      </c>
      <c r="AC562" s="3" t="str">
        <f t="shared" si="30"/>
        <v>16:20</v>
      </c>
      <c r="AD562" s="3">
        <f t="shared" si="31"/>
        <v>0.68055555555555547</v>
      </c>
      <c r="AE562" s="1">
        <v>57</v>
      </c>
      <c r="AF562" s="1">
        <v>10</v>
      </c>
      <c r="AG562" s="1">
        <v>0</v>
      </c>
    </row>
    <row r="563" spans="28:33" x14ac:dyDescent="0.3">
      <c r="AB563" s="3">
        <v>0.68124999999999902</v>
      </c>
      <c r="AC563" s="3" t="str">
        <f t="shared" si="30"/>
        <v>16:21</v>
      </c>
      <c r="AD563" s="3">
        <f t="shared" si="31"/>
        <v>0.68125000000000002</v>
      </c>
      <c r="AE563" s="1">
        <v>57</v>
      </c>
      <c r="AF563" s="1">
        <v>10</v>
      </c>
      <c r="AG563" s="1">
        <v>1</v>
      </c>
    </row>
    <row r="564" spans="28:33" x14ac:dyDescent="0.3">
      <c r="AB564" s="3">
        <v>0.68194444444444302</v>
      </c>
      <c r="AC564" s="3" t="str">
        <f t="shared" si="30"/>
        <v>16:22</v>
      </c>
      <c r="AD564" s="3">
        <f t="shared" si="31"/>
        <v>0.68194444444444446</v>
      </c>
      <c r="AE564" s="1">
        <v>57</v>
      </c>
      <c r="AF564" s="1">
        <v>10</v>
      </c>
      <c r="AG564" s="1">
        <v>2</v>
      </c>
    </row>
    <row r="565" spans="28:33" x14ac:dyDescent="0.3">
      <c r="AB565" s="3">
        <v>0.68263888888888802</v>
      </c>
      <c r="AC565" s="3" t="str">
        <f t="shared" si="30"/>
        <v>16:23</v>
      </c>
      <c r="AD565" s="3">
        <f t="shared" si="31"/>
        <v>0.68263888888888891</v>
      </c>
      <c r="AE565" s="1">
        <v>57</v>
      </c>
      <c r="AF565" s="1">
        <v>10</v>
      </c>
      <c r="AG565" s="1">
        <v>3</v>
      </c>
    </row>
    <row r="566" spans="28:33" x14ac:dyDescent="0.3">
      <c r="AB566" s="3">
        <v>0.68333333333333202</v>
      </c>
      <c r="AC566" s="3" t="str">
        <f t="shared" si="30"/>
        <v>16:24</v>
      </c>
      <c r="AD566" s="3">
        <f t="shared" si="31"/>
        <v>0.68333333333333324</v>
      </c>
      <c r="AE566" s="1">
        <v>57</v>
      </c>
      <c r="AF566" s="1">
        <v>10</v>
      </c>
      <c r="AG566" s="1">
        <v>4</v>
      </c>
    </row>
    <row r="567" spans="28:33" x14ac:dyDescent="0.3">
      <c r="AB567" s="3">
        <v>0.68402777777777701</v>
      </c>
      <c r="AC567" s="3" t="str">
        <f t="shared" si="30"/>
        <v>16:25</v>
      </c>
      <c r="AD567" s="3">
        <f t="shared" si="31"/>
        <v>0.68402777777777779</v>
      </c>
      <c r="AE567" s="1">
        <v>57</v>
      </c>
      <c r="AF567" s="1">
        <v>10</v>
      </c>
      <c r="AG567" s="1">
        <v>5</v>
      </c>
    </row>
    <row r="568" spans="28:33" x14ac:dyDescent="0.3">
      <c r="AB568" s="3">
        <v>0.68472222222222101</v>
      </c>
      <c r="AC568" s="3" t="str">
        <f t="shared" si="30"/>
        <v>16:26</v>
      </c>
      <c r="AD568" s="3">
        <f t="shared" si="31"/>
        <v>0.68472222222222223</v>
      </c>
      <c r="AE568" s="1">
        <v>57</v>
      </c>
      <c r="AF568" s="1">
        <v>10</v>
      </c>
      <c r="AG568" s="1">
        <v>6</v>
      </c>
    </row>
    <row r="569" spans="28:33" x14ac:dyDescent="0.3">
      <c r="AB569" s="3">
        <v>0.68541666666666601</v>
      </c>
      <c r="AC569" s="3" t="str">
        <f t="shared" si="30"/>
        <v>16:27</v>
      </c>
      <c r="AD569" s="3">
        <f t="shared" si="31"/>
        <v>0.68541666666666667</v>
      </c>
      <c r="AE569" s="1">
        <v>57</v>
      </c>
      <c r="AF569" s="1">
        <v>10</v>
      </c>
      <c r="AG569" s="1">
        <v>7</v>
      </c>
    </row>
    <row r="570" spans="28:33" x14ac:dyDescent="0.3">
      <c r="AB570" s="3">
        <v>0.68611111111111001</v>
      </c>
      <c r="AC570" s="3" t="str">
        <f t="shared" si="30"/>
        <v>16:28</v>
      </c>
      <c r="AD570" s="3">
        <f t="shared" si="31"/>
        <v>0.68611111111111101</v>
      </c>
      <c r="AE570" s="1">
        <v>57</v>
      </c>
      <c r="AF570" s="1">
        <v>10</v>
      </c>
      <c r="AG570" s="1">
        <v>8</v>
      </c>
    </row>
    <row r="571" spans="28:33" x14ac:dyDescent="0.3">
      <c r="AB571" s="3">
        <v>0.686805555555554</v>
      </c>
      <c r="AC571" s="3" t="str">
        <f t="shared" si="30"/>
        <v>16:29</v>
      </c>
      <c r="AD571" s="3">
        <f t="shared" si="31"/>
        <v>0.68680555555555556</v>
      </c>
      <c r="AE571" s="1">
        <v>57</v>
      </c>
      <c r="AF571" s="1">
        <v>10</v>
      </c>
      <c r="AG571" s="1">
        <v>9</v>
      </c>
    </row>
    <row r="572" spans="28:33" x14ac:dyDescent="0.3">
      <c r="AB572" s="3">
        <v>0.687499999999999</v>
      </c>
      <c r="AC572" s="3" t="str">
        <f t="shared" si="30"/>
        <v>16:30</v>
      </c>
      <c r="AD572" s="3">
        <f t="shared" si="31"/>
        <v>0.6875</v>
      </c>
      <c r="AE572" s="1">
        <v>58</v>
      </c>
      <c r="AF572" s="1">
        <v>10</v>
      </c>
      <c r="AG572" s="1">
        <v>0</v>
      </c>
    </row>
    <row r="573" spans="28:33" x14ac:dyDescent="0.3">
      <c r="AB573" s="3">
        <v>0.688194444444443</v>
      </c>
      <c r="AC573" s="3" t="str">
        <f t="shared" si="30"/>
        <v>16:31</v>
      </c>
      <c r="AD573" s="3">
        <f t="shared" si="31"/>
        <v>0.68819444444444444</v>
      </c>
      <c r="AE573" s="1">
        <v>58</v>
      </c>
      <c r="AF573" s="1">
        <v>10</v>
      </c>
      <c r="AG573" s="1">
        <v>1</v>
      </c>
    </row>
    <row r="574" spans="28:33" x14ac:dyDescent="0.3">
      <c r="AB574" s="3">
        <v>0.688888888888888</v>
      </c>
      <c r="AC574" s="3" t="str">
        <f t="shared" si="30"/>
        <v>16:32</v>
      </c>
      <c r="AD574" s="3">
        <f t="shared" si="31"/>
        <v>0.68888888888888899</v>
      </c>
      <c r="AE574" s="1">
        <v>58</v>
      </c>
      <c r="AF574" s="1">
        <v>10</v>
      </c>
      <c r="AG574" s="1">
        <v>2</v>
      </c>
    </row>
    <row r="575" spans="28:33" x14ac:dyDescent="0.3">
      <c r="AB575" s="3">
        <v>0.68958333333333199</v>
      </c>
      <c r="AC575" s="3" t="str">
        <f t="shared" si="30"/>
        <v>16:33</v>
      </c>
      <c r="AD575" s="3">
        <f t="shared" si="31"/>
        <v>0.68958333333333333</v>
      </c>
      <c r="AE575" s="1">
        <v>58</v>
      </c>
      <c r="AF575" s="1">
        <v>10</v>
      </c>
      <c r="AG575" s="1">
        <v>3</v>
      </c>
    </row>
    <row r="576" spans="28:33" x14ac:dyDescent="0.3">
      <c r="AB576" s="3">
        <v>0.69027777777777699</v>
      </c>
      <c r="AC576" s="3" t="str">
        <f t="shared" si="30"/>
        <v>16:34</v>
      </c>
      <c r="AD576" s="3">
        <f t="shared" si="31"/>
        <v>0.69027777777777777</v>
      </c>
      <c r="AE576" s="1">
        <v>58</v>
      </c>
      <c r="AF576" s="1">
        <v>10</v>
      </c>
      <c r="AG576" s="1">
        <v>4</v>
      </c>
    </row>
    <row r="577" spans="28:33" x14ac:dyDescent="0.3">
      <c r="AB577" s="3">
        <v>0.69097222222222099</v>
      </c>
      <c r="AC577" s="3" t="str">
        <f t="shared" si="30"/>
        <v>16:35</v>
      </c>
      <c r="AD577" s="3">
        <f t="shared" si="31"/>
        <v>0.69097222222222221</v>
      </c>
      <c r="AE577" s="1">
        <v>58</v>
      </c>
      <c r="AF577" s="1">
        <v>10</v>
      </c>
      <c r="AG577" s="1">
        <v>5</v>
      </c>
    </row>
    <row r="578" spans="28:33" x14ac:dyDescent="0.3">
      <c r="AB578" s="3">
        <v>0.69166666666666599</v>
      </c>
      <c r="AC578" s="3" t="str">
        <f t="shared" si="30"/>
        <v>16:36</v>
      </c>
      <c r="AD578" s="3">
        <f t="shared" si="31"/>
        <v>0.69166666666666676</v>
      </c>
      <c r="AE578" s="1">
        <v>58</v>
      </c>
      <c r="AF578" s="1">
        <v>10</v>
      </c>
      <c r="AG578" s="1">
        <v>6</v>
      </c>
    </row>
    <row r="579" spans="28:33" x14ac:dyDescent="0.3">
      <c r="AB579" s="3">
        <v>0.69236111111110998</v>
      </c>
      <c r="AC579" s="3" t="str">
        <f t="shared" ref="AC579:AC642" si="32">TEXT(AB579,"hh:mm")</f>
        <v>16:37</v>
      </c>
      <c r="AD579" s="3">
        <f t="shared" ref="AD579:AD642" si="33">VALUE(AC579)</f>
        <v>0.69236111111111109</v>
      </c>
      <c r="AE579" s="1">
        <v>58</v>
      </c>
      <c r="AF579" s="1">
        <v>10</v>
      </c>
      <c r="AG579" s="1">
        <v>7</v>
      </c>
    </row>
    <row r="580" spans="28:33" x14ac:dyDescent="0.3">
      <c r="AB580" s="3">
        <v>0.69305555555555398</v>
      </c>
      <c r="AC580" s="3" t="str">
        <f t="shared" si="32"/>
        <v>16:38</v>
      </c>
      <c r="AD580" s="3">
        <f t="shared" si="33"/>
        <v>0.69305555555555554</v>
      </c>
      <c r="AE580" s="1">
        <v>58</v>
      </c>
      <c r="AF580" s="1">
        <v>10</v>
      </c>
      <c r="AG580" s="1">
        <v>8</v>
      </c>
    </row>
    <row r="581" spans="28:33" x14ac:dyDescent="0.3">
      <c r="AB581" s="3">
        <v>0.69374999999999898</v>
      </c>
      <c r="AC581" s="3" t="str">
        <f t="shared" si="32"/>
        <v>16:39</v>
      </c>
      <c r="AD581" s="3">
        <f t="shared" si="33"/>
        <v>0.69374999999999998</v>
      </c>
      <c r="AE581" s="1">
        <v>58</v>
      </c>
      <c r="AF581" s="1">
        <v>10</v>
      </c>
      <c r="AG581" s="1">
        <v>9</v>
      </c>
    </row>
    <row r="582" spans="28:33" x14ac:dyDescent="0.3">
      <c r="AB582" s="3">
        <v>0.69444444444444298</v>
      </c>
      <c r="AC582" s="3" t="str">
        <f t="shared" si="32"/>
        <v>16:40</v>
      </c>
      <c r="AD582" s="3">
        <f t="shared" si="33"/>
        <v>0.69444444444444453</v>
      </c>
      <c r="AE582" s="1">
        <v>59</v>
      </c>
      <c r="AF582" s="1">
        <v>10</v>
      </c>
      <c r="AG582" s="1">
        <v>0</v>
      </c>
    </row>
    <row r="583" spans="28:33" x14ac:dyDescent="0.3">
      <c r="AB583" s="3">
        <v>0.69513888888888797</v>
      </c>
      <c r="AC583" s="3" t="str">
        <f t="shared" si="32"/>
        <v>16:41</v>
      </c>
      <c r="AD583" s="3">
        <f t="shared" si="33"/>
        <v>0.69513888888888886</v>
      </c>
      <c r="AE583" s="1">
        <v>59</v>
      </c>
      <c r="AF583" s="1">
        <v>10</v>
      </c>
      <c r="AG583" s="1">
        <v>1</v>
      </c>
    </row>
    <row r="584" spans="28:33" x14ac:dyDescent="0.3">
      <c r="AB584" s="3">
        <v>0.69583333333333197</v>
      </c>
      <c r="AC584" s="3" t="str">
        <f t="shared" si="32"/>
        <v>16:42</v>
      </c>
      <c r="AD584" s="3">
        <f t="shared" si="33"/>
        <v>0.6958333333333333</v>
      </c>
      <c r="AE584" s="1">
        <v>59</v>
      </c>
      <c r="AF584" s="1">
        <v>10</v>
      </c>
      <c r="AG584" s="1">
        <v>2</v>
      </c>
    </row>
    <row r="585" spans="28:33" x14ac:dyDescent="0.3">
      <c r="AB585" s="3">
        <v>0.69652777777777697</v>
      </c>
      <c r="AC585" s="3" t="str">
        <f t="shared" si="32"/>
        <v>16:43</v>
      </c>
      <c r="AD585" s="3">
        <f t="shared" si="33"/>
        <v>0.69652777777777775</v>
      </c>
      <c r="AE585" s="1">
        <v>59</v>
      </c>
      <c r="AF585" s="1">
        <v>10</v>
      </c>
      <c r="AG585" s="1">
        <v>3</v>
      </c>
    </row>
    <row r="586" spans="28:33" x14ac:dyDescent="0.3">
      <c r="AB586" s="3">
        <v>0.69722222222222097</v>
      </c>
      <c r="AC586" s="3" t="str">
        <f t="shared" si="32"/>
        <v>16:44</v>
      </c>
      <c r="AD586" s="3">
        <f t="shared" si="33"/>
        <v>0.6972222222222223</v>
      </c>
      <c r="AE586" s="1">
        <v>59</v>
      </c>
      <c r="AF586" s="1">
        <v>10</v>
      </c>
      <c r="AG586" s="1">
        <v>4</v>
      </c>
    </row>
    <row r="587" spans="28:33" x14ac:dyDescent="0.3">
      <c r="AB587" s="3">
        <v>0.69791666666666596</v>
      </c>
      <c r="AC587" s="3" t="str">
        <f t="shared" si="32"/>
        <v>16:45</v>
      </c>
      <c r="AD587" s="3">
        <f t="shared" si="33"/>
        <v>0.69791666666666663</v>
      </c>
      <c r="AE587" s="1">
        <v>59</v>
      </c>
      <c r="AF587" s="1">
        <v>10</v>
      </c>
      <c r="AG587" s="1">
        <v>5</v>
      </c>
    </row>
    <row r="588" spans="28:33" x14ac:dyDescent="0.3">
      <c r="AB588" s="3">
        <v>0.69861111111110996</v>
      </c>
      <c r="AC588" s="3" t="str">
        <f t="shared" si="32"/>
        <v>16:46</v>
      </c>
      <c r="AD588" s="3">
        <f t="shared" si="33"/>
        <v>0.69861111111111107</v>
      </c>
      <c r="AE588" s="1">
        <v>59</v>
      </c>
      <c r="AF588" s="1">
        <v>10</v>
      </c>
      <c r="AG588" s="1">
        <v>6</v>
      </c>
    </row>
    <row r="589" spans="28:33" x14ac:dyDescent="0.3">
      <c r="AB589" s="3">
        <v>0.69930555555555396</v>
      </c>
      <c r="AC589" s="3" t="str">
        <f t="shared" si="32"/>
        <v>16:47</v>
      </c>
      <c r="AD589" s="3">
        <f t="shared" si="33"/>
        <v>0.69930555555555562</v>
      </c>
      <c r="AE589" s="1">
        <v>59</v>
      </c>
      <c r="AF589" s="1">
        <v>10</v>
      </c>
      <c r="AG589" s="1">
        <v>7</v>
      </c>
    </row>
    <row r="590" spans="28:33" x14ac:dyDescent="0.3">
      <c r="AB590" s="3">
        <v>0.69999999999999896</v>
      </c>
      <c r="AC590" s="3" t="str">
        <f t="shared" si="32"/>
        <v>16:48</v>
      </c>
      <c r="AD590" s="3">
        <f t="shared" si="33"/>
        <v>0.70000000000000007</v>
      </c>
      <c r="AE590" s="1">
        <v>59</v>
      </c>
      <c r="AF590" s="1">
        <v>10</v>
      </c>
      <c r="AG590" s="1">
        <v>8</v>
      </c>
    </row>
    <row r="591" spans="28:33" x14ac:dyDescent="0.3">
      <c r="AB591" s="3">
        <v>0.70069444444444295</v>
      </c>
      <c r="AC591" s="3" t="str">
        <f t="shared" si="32"/>
        <v>16:49</v>
      </c>
      <c r="AD591" s="3">
        <f t="shared" si="33"/>
        <v>0.7006944444444444</v>
      </c>
      <c r="AE591" s="1">
        <v>59</v>
      </c>
      <c r="AF591" s="1">
        <v>10</v>
      </c>
      <c r="AG591" s="1">
        <v>9</v>
      </c>
    </row>
    <row r="592" spans="28:33" x14ac:dyDescent="0.3">
      <c r="AB592" s="3">
        <v>0.70138888888888795</v>
      </c>
      <c r="AC592" s="3" t="str">
        <f t="shared" si="32"/>
        <v>16:50</v>
      </c>
      <c r="AD592" s="3">
        <f t="shared" si="33"/>
        <v>0.70138888888888884</v>
      </c>
      <c r="AE592" s="1">
        <v>60</v>
      </c>
      <c r="AF592" s="1">
        <v>10</v>
      </c>
      <c r="AG592" s="1">
        <v>0</v>
      </c>
    </row>
    <row r="593" spans="28:33" x14ac:dyDescent="0.3">
      <c r="AB593" s="3">
        <v>0.70208333333333195</v>
      </c>
      <c r="AC593" s="3" t="str">
        <f t="shared" si="32"/>
        <v>16:51</v>
      </c>
      <c r="AD593" s="3">
        <f t="shared" si="33"/>
        <v>0.70208333333333339</v>
      </c>
      <c r="AE593" s="1">
        <v>60</v>
      </c>
      <c r="AF593" s="1">
        <v>10</v>
      </c>
      <c r="AG593" s="1">
        <v>1</v>
      </c>
    </row>
    <row r="594" spans="28:33" x14ac:dyDescent="0.3">
      <c r="AB594" s="3">
        <v>0.70277777777777695</v>
      </c>
      <c r="AC594" s="3" t="str">
        <f t="shared" si="32"/>
        <v>16:52</v>
      </c>
      <c r="AD594" s="3">
        <f t="shared" si="33"/>
        <v>0.70277777777777783</v>
      </c>
      <c r="AE594" s="1">
        <v>60</v>
      </c>
      <c r="AF594" s="1">
        <v>10</v>
      </c>
      <c r="AG594" s="1">
        <v>2</v>
      </c>
    </row>
    <row r="595" spans="28:33" x14ac:dyDescent="0.3">
      <c r="AB595" s="3">
        <v>0.70347222222222106</v>
      </c>
      <c r="AC595" s="3" t="str">
        <f t="shared" si="32"/>
        <v>16:53</v>
      </c>
      <c r="AD595" s="3">
        <f t="shared" si="33"/>
        <v>0.70347222222222217</v>
      </c>
      <c r="AE595" s="1">
        <v>60</v>
      </c>
      <c r="AF595" s="1">
        <v>10</v>
      </c>
      <c r="AG595" s="1">
        <v>3</v>
      </c>
    </row>
    <row r="596" spans="28:33" x14ac:dyDescent="0.3">
      <c r="AB596" s="3">
        <v>0.70416666666666605</v>
      </c>
      <c r="AC596" s="3" t="str">
        <f t="shared" si="32"/>
        <v>16:54</v>
      </c>
      <c r="AD596" s="3">
        <f t="shared" si="33"/>
        <v>0.70416666666666661</v>
      </c>
      <c r="AE596" s="1">
        <v>60</v>
      </c>
      <c r="AF596" s="1">
        <v>10</v>
      </c>
      <c r="AG596" s="1">
        <v>4</v>
      </c>
    </row>
    <row r="597" spans="28:33" x14ac:dyDescent="0.3">
      <c r="AB597" s="3">
        <v>0.70486111111111005</v>
      </c>
      <c r="AC597" s="3" t="str">
        <f t="shared" si="32"/>
        <v>16:55</v>
      </c>
      <c r="AD597" s="3">
        <f t="shared" si="33"/>
        <v>0.70486111111111116</v>
      </c>
      <c r="AE597" s="1">
        <v>60</v>
      </c>
      <c r="AF597" s="1">
        <v>10</v>
      </c>
      <c r="AG597" s="1">
        <v>5</v>
      </c>
    </row>
    <row r="598" spans="28:33" x14ac:dyDescent="0.3">
      <c r="AB598" s="3">
        <v>0.70555555555555405</v>
      </c>
      <c r="AC598" s="3" t="str">
        <f t="shared" si="32"/>
        <v>16:56</v>
      </c>
      <c r="AD598" s="3">
        <f t="shared" si="33"/>
        <v>0.7055555555555556</v>
      </c>
      <c r="AE598" s="1">
        <v>60</v>
      </c>
      <c r="AF598" s="1">
        <v>10</v>
      </c>
      <c r="AG598" s="1">
        <v>6</v>
      </c>
    </row>
    <row r="599" spans="28:33" x14ac:dyDescent="0.3">
      <c r="AB599" s="3">
        <v>0.70624999999999905</v>
      </c>
      <c r="AC599" s="3" t="str">
        <f t="shared" si="32"/>
        <v>16:57</v>
      </c>
      <c r="AD599" s="3">
        <f t="shared" si="33"/>
        <v>0.70624999999999993</v>
      </c>
      <c r="AE599" s="1">
        <v>60</v>
      </c>
      <c r="AF599" s="1">
        <v>10</v>
      </c>
      <c r="AG599" s="1">
        <v>7</v>
      </c>
    </row>
    <row r="600" spans="28:33" x14ac:dyDescent="0.3">
      <c r="AB600" s="3">
        <v>0.70694444444444304</v>
      </c>
      <c r="AC600" s="3" t="str">
        <f t="shared" si="32"/>
        <v>16:58</v>
      </c>
      <c r="AD600" s="3">
        <f t="shared" si="33"/>
        <v>0.70694444444444438</v>
      </c>
      <c r="AE600" s="1">
        <v>60</v>
      </c>
      <c r="AF600" s="1">
        <v>10</v>
      </c>
      <c r="AG600" s="1">
        <v>8</v>
      </c>
    </row>
    <row r="601" spans="28:33" x14ac:dyDescent="0.3">
      <c r="AB601" s="3">
        <v>0.70763888888888804</v>
      </c>
      <c r="AC601" s="3" t="str">
        <f t="shared" si="32"/>
        <v>16:59</v>
      </c>
      <c r="AD601" s="3">
        <f t="shared" si="33"/>
        <v>0.70763888888888893</v>
      </c>
      <c r="AE601" s="1">
        <v>60</v>
      </c>
      <c r="AF601" s="1">
        <v>10</v>
      </c>
      <c r="AG601" s="1">
        <v>9</v>
      </c>
    </row>
    <row r="602" spans="28:33" x14ac:dyDescent="0.3">
      <c r="AB602" s="3">
        <v>0.70833333333333204</v>
      </c>
      <c r="AC602" s="3" t="str">
        <f t="shared" si="32"/>
        <v>17:00</v>
      </c>
      <c r="AD602" s="3">
        <f t="shared" si="33"/>
        <v>0.70833333333333337</v>
      </c>
      <c r="AE602" s="1">
        <v>61</v>
      </c>
      <c r="AF602" s="1">
        <v>10</v>
      </c>
      <c r="AG602" s="1">
        <v>0</v>
      </c>
    </row>
    <row r="603" spans="28:33" x14ac:dyDescent="0.3">
      <c r="AB603" s="3">
        <v>0.70902777777777704</v>
      </c>
      <c r="AC603" s="3" t="str">
        <f t="shared" si="32"/>
        <v>17:01</v>
      </c>
      <c r="AD603" s="3">
        <f t="shared" si="33"/>
        <v>0.7090277777777777</v>
      </c>
      <c r="AE603" s="1">
        <v>61</v>
      </c>
      <c r="AF603" s="1">
        <v>10</v>
      </c>
      <c r="AG603" s="1">
        <v>1</v>
      </c>
    </row>
    <row r="604" spans="28:33" x14ac:dyDescent="0.3">
      <c r="AB604" s="3">
        <v>0.70972222222222103</v>
      </c>
      <c r="AC604" s="3" t="str">
        <f t="shared" si="32"/>
        <v>17:02</v>
      </c>
      <c r="AD604" s="3">
        <f t="shared" si="33"/>
        <v>0.70972222222222225</v>
      </c>
      <c r="AE604" s="1">
        <v>61</v>
      </c>
      <c r="AF604" s="1">
        <v>10</v>
      </c>
      <c r="AG604" s="1">
        <v>2</v>
      </c>
    </row>
    <row r="605" spans="28:33" x14ac:dyDescent="0.3">
      <c r="AB605" s="3">
        <v>0.71041666666666603</v>
      </c>
      <c r="AC605" s="3" t="str">
        <f t="shared" si="32"/>
        <v>17:03</v>
      </c>
      <c r="AD605" s="3">
        <f t="shared" si="33"/>
        <v>0.7104166666666667</v>
      </c>
      <c r="AE605" s="1">
        <v>61</v>
      </c>
      <c r="AF605" s="1">
        <v>10</v>
      </c>
      <c r="AG605" s="1">
        <v>3</v>
      </c>
    </row>
    <row r="606" spans="28:33" x14ac:dyDescent="0.3">
      <c r="AB606" s="3">
        <v>0.71111111111111003</v>
      </c>
      <c r="AC606" s="3" t="str">
        <f t="shared" si="32"/>
        <v>17:04</v>
      </c>
      <c r="AD606" s="3">
        <f t="shared" si="33"/>
        <v>0.71111111111111114</v>
      </c>
      <c r="AE606" s="1">
        <v>61</v>
      </c>
      <c r="AF606" s="1">
        <v>10</v>
      </c>
      <c r="AG606" s="1">
        <v>4</v>
      </c>
    </row>
    <row r="607" spans="28:33" x14ac:dyDescent="0.3">
      <c r="AB607" s="3">
        <v>0.71180555555555403</v>
      </c>
      <c r="AC607" s="3" t="str">
        <f t="shared" si="32"/>
        <v>17:05</v>
      </c>
      <c r="AD607" s="3">
        <f t="shared" si="33"/>
        <v>0.71180555555555547</v>
      </c>
      <c r="AE607" s="1">
        <v>61</v>
      </c>
      <c r="AF607" s="1">
        <v>10</v>
      </c>
      <c r="AG607" s="1">
        <v>5</v>
      </c>
    </row>
    <row r="608" spans="28:33" x14ac:dyDescent="0.3">
      <c r="AB608" s="3">
        <v>0.71249999999999902</v>
      </c>
      <c r="AC608" s="3" t="str">
        <f t="shared" si="32"/>
        <v>17:06</v>
      </c>
      <c r="AD608" s="3">
        <f t="shared" si="33"/>
        <v>0.71250000000000002</v>
      </c>
      <c r="AE608" s="1">
        <v>61</v>
      </c>
      <c r="AF608" s="1">
        <v>10</v>
      </c>
      <c r="AG608" s="1">
        <v>6</v>
      </c>
    </row>
    <row r="609" spans="28:33" x14ac:dyDescent="0.3">
      <c r="AB609" s="3">
        <v>0.71319444444444302</v>
      </c>
      <c r="AC609" s="3" t="str">
        <f t="shared" si="32"/>
        <v>17:07</v>
      </c>
      <c r="AD609" s="3">
        <f t="shared" si="33"/>
        <v>0.71319444444444446</v>
      </c>
      <c r="AE609" s="1">
        <v>61</v>
      </c>
      <c r="AF609" s="1">
        <v>10</v>
      </c>
      <c r="AG609" s="1">
        <v>7</v>
      </c>
    </row>
    <row r="610" spans="28:33" x14ac:dyDescent="0.3">
      <c r="AB610" s="3">
        <v>0.71388888888888802</v>
      </c>
      <c r="AC610" s="3" t="str">
        <f t="shared" si="32"/>
        <v>17:08</v>
      </c>
      <c r="AD610" s="3">
        <f t="shared" si="33"/>
        <v>0.71388888888888891</v>
      </c>
      <c r="AE610" s="1">
        <v>61</v>
      </c>
      <c r="AF610" s="1">
        <v>10</v>
      </c>
      <c r="AG610" s="1">
        <v>8</v>
      </c>
    </row>
    <row r="611" spans="28:33" x14ac:dyDescent="0.3">
      <c r="AB611" s="3">
        <v>0.71458333333333202</v>
      </c>
      <c r="AC611" s="3" t="str">
        <f t="shared" si="32"/>
        <v>17:09</v>
      </c>
      <c r="AD611" s="3">
        <f t="shared" si="33"/>
        <v>0.71458333333333324</v>
      </c>
      <c r="AE611" s="1">
        <v>61</v>
      </c>
      <c r="AF611" s="1">
        <v>10</v>
      </c>
      <c r="AG611" s="1">
        <v>9</v>
      </c>
    </row>
    <row r="612" spans="28:33" x14ac:dyDescent="0.3">
      <c r="AB612" s="3">
        <v>0.71527777777777701</v>
      </c>
      <c r="AC612" s="3" t="str">
        <f t="shared" si="32"/>
        <v>17:10</v>
      </c>
      <c r="AD612" s="3">
        <f t="shared" si="33"/>
        <v>0.71527777777777779</v>
      </c>
      <c r="AE612" s="1">
        <v>62</v>
      </c>
      <c r="AF612" s="1">
        <v>10</v>
      </c>
      <c r="AG612" s="1">
        <v>0</v>
      </c>
    </row>
    <row r="613" spans="28:33" x14ac:dyDescent="0.3">
      <c r="AB613" s="3">
        <v>0.71597222222222101</v>
      </c>
      <c r="AC613" s="3" t="str">
        <f t="shared" si="32"/>
        <v>17:11</v>
      </c>
      <c r="AD613" s="3">
        <f t="shared" si="33"/>
        <v>0.71597222222222223</v>
      </c>
      <c r="AE613" s="1">
        <v>62</v>
      </c>
      <c r="AF613" s="1">
        <v>10</v>
      </c>
      <c r="AG613" s="1">
        <v>1</v>
      </c>
    </row>
    <row r="614" spans="28:33" x14ac:dyDescent="0.3">
      <c r="AB614" s="3">
        <v>0.71666666666666501</v>
      </c>
      <c r="AC614" s="3" t="str">
        <f t="shared" si="32"/>
        <v>17:12</v>
      </c>
      <c r="AD614" s="3">
        <f t="shared" si="33"/>
        <v>0.71666666666666667</v>
      </c>
      <c r="AE614" s="1">
        <v>62</v>
      </c>
      <c r="AF614" s="1">
        <v>10</v>
      </c>
      <c r="AG614" s="1">
        <v>2</v>
      </c>
    </row>
    <row r="615" spans="28:33" x14ac:dyDescent="0.3">
      <c r="AB615" s="3">
        <v>0.71736111111111001</v>
      </c>
      <c r="AC615" s="3" t="str">
        <f t="shared" si="32"/>
        <v>17:13</v>
      </c>
      <c r="AD615" s="3">
        <f t="shared" si="33"/>
        <v>0.71736111111111101</v>
      </c>
      <c r="AE615" s="1">
        <v>62</v>
      </c>
      <c r="AF615" s="1">
        <v>10</v>
      </c>
      <c r="AG615" s="1">
        <v>3</v>
      </c>
    </row>
    <row r="616" spans="28:33" x14ac:dyDescent="0.3">
      <c r="AB616" s="3">
        <v>0.718055555555554</v>
      </c>
      <c r="AC616" s="3" t="str">
        <f t="shared" si="32"/>
        <v>17:14</v>
      </c>
      <c r="AD616" s="3">
        <f t="shared" si="33"/>
        <v>0.71805555555555556</v>
      </c>
      <c r="AE616" s="1">
        <v>62</v>
      </c>
      <c r="AF616" s="1">
        <v>10</v>
      </c>
      <c r="AG616" s="1">
        <v>4</v>
      </c>
    </row>
    <row r="617" spans="28:33" x14ac:dyDescent="0.3">
      <c r="AB617" s="3">
        <v>0.718749999999999</v>
      </c>
      <c r="AC617" s="3" t="str">
        <f t="shared" si="32"/>
        <v>17:15</v>
      </c>
      <c r="AD617" s="3">
        <f t="shared" si="33"/>
        <v>0.71875</v>
      </c>
      <c r="AE617" s="1">
        <v>62</v>
      </c>
      <c r="AF617" s="1">
        <v>10</v>
      </c>
      <c r="AG617" s="1">
        <v>5</v>
      </c>
    </row>
    <row r="618" spans="28:33" x14ac:dyDescent="0.3">
      <c r="AB618" s="3">
        <v>0.719444444444443</v>
      </c>
      <c r="AC618" s="3" t="str">
        <f t="shared" si="32"/>
        <v>17:16</v>
      </c>
      <c r="AD618" s="3">
        <f t="shared" si="33"/>
        <v>0.71944444444444444</v>
      </c>
      <c r="AE618" s="1">
        <v>62</v>
      </c>
      <c r="AF618" s="1">
        <v>10</v>
      </c>
      <c r="AG618" s="1">
        <v>6</v>
      </c>
    </row>
    <row r="619" spans="28:33" x14ac:dyDescent="0.3">
      <c r="AB619" s="3">
        <v>0.720138888888888</v>
      </c>
      <c r="AC619" s="3" t="str">
        <f t="shared" si="32"/>
        <v>17:17</v>
      </c>
      <c r="AD619" s="3">
        <f t="shared" si="33"/>
        <v>0.72013888888888899</v>
      </c>
      <c r="AE619" s="1">
        <v>62</v>
      </c>
      <c r="AF619" s="1">
        <v>10</v>
      </c>
      <c r="AG619" s="1">
        <v>7</v>
      </c>
    </row>
    <row r="620" spans="28:33" x14ac:dyDescent="0.3">
      <c r="AB620" s="3">
        <v>0.72083333333333199</v>
      </c>
      <c r="AC620" s="3" t="str">
        <f t="shared" si="32"/>
        <v>17:18</v>
      </c>
      <c r="AD620" s="3">
        <f t="shared" si="33"/>
        <v>0.72083333333333333</v>
      </c>
      <c r="AE620" s="1">
        <v>62</v>
      </c>
      <c r="AF620" s="1">
        <v>10</v>
      </c>
      <c r="AG620" s="1">
        <v>8</v>
      </c>
    </row>
    <row r="621" spans="28:33" x14ac:dyDescent="0.3">
      <c r="AB621" s="3">
        <v>0.72152777777777699</v>
      </c>
      <c r="AC621" s="3" t="str">
        <f t="shared" si="32"/>
        <v>17:19</v>
      </c>
      <c r="AD621" s="3">
        <f t="shared" si="33"/>
        <v>0.72152777777777777</v>
      </c>
      <c r="AE621" s="1">
        <v>62</v>
      </c>
      <c r="AF621" s="1">
        <v>10</v>
      </c>
      <c r="AG621" s="1">
        <v>9</v>
      </c>
    </row>
    <row r="622" spans="28:33" x14ac:dyDescent="0.3">
      <c r="AB622" s="3">
        <v>0.72222222222222099</v>
      </c>
      <c r="AC622" s="3" t="str">
        <f t="shared" si="32"/>
        <v>17:20</v>
      </c>
      <c r="AD622" s="3">
        <f t="shared" si="33"/>
        <v>0.72222222222222221</v>
      </c>
      <c r="AE622" s="1">
        <v>63</v>
      </c>
      <c r="AF622" s="1">
        <v>10</v>
      </c>
      <c r="AG622" s="1">
        <v>0</v>
      </c>
    </row>
    <row r="623" spans="28:33" x14ac:dyDescent="0.3">
      <c r="AB623" s="3">
        <v>0.72291666666666499</v>
      </c>
      <c r="AC623" s="3" t="str">
        <f t="shared" si="32"/>
        <v>17:21</v>
      </c>
      <c r="AD623" s="3">
        <f t="shared" si="33"/>
        <v>0.72291666666666676</v>
      </c>
      <c r="AE623" s="1">
        <v>63</v>
      </c>
      <c r="AF623" s="1">
        <v>10</v>
      </c>
      <c r="AG623" s="1">
        <v>1</v>
      </c>
    </row>
    <row r="624" spans="28:33" x14ac:dyDescent="0.3">
      <c r="AB624" s="3">
        <v>0.72361111111110998</v>
      </c>
      <c r="AC624" s="3" t="str">
        <f t="shared" si="32"/>
        <v>17:22</v>
      </c>
      <c r="AD624" s="3">
        <f t="shared" si="33"/>
        <v>0.72361111111111109</v>
      </c>
      <c r="AE624" s="1">
        <v>63</v>
      </c>
      <c r="AF624" s="1">
        <v>10</v>
      </c>
      <c r="AG624" s="1">
        <v>2</v>
      </c>
    </row>
    <row r="625" spans="28:33" x14ac:dyDescent="0.3">
      <c r="AB625" s="3">
        <v>0.72430555555555398</v>
      </c>
      <c r="AC625" s="3" t="str">
        <f t="shared" si="32"/>
        <v>17:23</v>
      </c>
      <c r="AD625" s="3">
        <f t="shared" si="33"/>
        <v>0.72430555555555554</v>
      </c>
      <c r="AE625" s="1">
        <v>63</v>
      </c>
      <c r="AF625" s="1">
        <v>10</v>
      </c>
      <c r="AG625" s="1">
        <v>3</v>
      </c>
    </row>
    <row r="626" spans="28:33" x14ac:dyDescent="0.3">
      <c r="AB626" s="3">
        <v>0.72499999999999898</v>
      </c>
      <c r="AC626" s="3" t="str">
        <f t="shared" si="32"/>
        <v>17:24</v>
      </c>
      <c r="AD626" s="3">
        <f t="shared" si="33"/>
        <v>0.72499999999999998</v>
      </c>
      <c r="AE626" s="1">
        <v>63</v>
      </c>
      <c r="AF626" s="1">
        <v>10</v>
      </c>
      <c r="AG626" s="1">
        <v>4</v>
      </c>
    </row>
    <row r="627" spans="28:33" x14ac:dyDescent="0.3">
      <c r="AB627" s="3">
        <v>0.72569444444444298</v>
      </c>
      <c r="AC627" s="3" t="str">
        <f t="shared" si="32"/>
        <v>17:25</v>
      </c>
      <c r="AD627" s="3">
        <f t="shared" si="33"/>
        <v>0.72569444444444453</v>
      </c>
      <c r="AE627" s="1">
        <v>63</v>
      </c>
      <c r="AF627" s="1">
        <v>10</v>
      </c>
      <c r="AG627" s="1">
        <v>5</v>
      </c>
    </row>
    <row r="628" spans="28:33" x14ac:dyDescent="0.3">
      <c r="AB628" s="3">
        <v>0.72638888888888797</v>
      </c>
      <c r="AC628" s="3" t="str">
        <f t="shared" si="32"/>
        <v>17:26</v>
      </c>
      <c r="AD628" s="3">
        <f t="shared" si="33"/>
        <v>0.72638888888888886</v>
      </c>
      <c r="AE628" s="1">
        <v>63</v>
      </c>
      <c r="AF628" s="1">
        <v>10</v>
      </c>
      <c r="AG628" s="1">
        <v>6</v>
      </c>
    </row>
    <row r="629" spans="28:33" x14ac:dyDescent="0.3">
      <c r="AB629" s="3">
        <v>0.72708333333333197</v>
      </c>
      <c r="AC629" s="3" t="str">
        <f t="shared" si="32"/>
        <v>17:27</v>
      </c>
      <c r="AD629" s="3">
        <f t="shared" si="33"/>
        <v>0.7270833333333333</v>
      </c>
      <c r="AE629" s="1">
        <v>63</v>
      </c>
      <c r="AF629" s="1">
        <v>10</v>
      </c>
      <c r="AG629" s="1">
        <v>7</v>
      </c>
    </row>
    <row r="630" spans="28:33" x14ac:dyDescent="0.3">
      <c r="AB630" s="3">
        <v>0.72777777777777697</v>
      </c>
      <c r="AC630" s="3" t="str">
        <f t="shared" si="32"/>
        <v>17:28</v>
      </c>
      <c r="AD630" s="3">
        <f t="shared" si="33"/>
        <v>0.72777777777777775</v>
      </c>
      <c r="AE630" s="1">
        <v>63</v>
      </c>
      <c r="AF630" s="1">
        <v>10</v>
      </c>
      <c r="AG630" s="1">
        <v>8</v>
      </c>
    </row>
    <row r="631" spans="28:33" x14ac:dyDescent="0.3">
      <c r="AB631" s="3">
        <v>0.72847222222222097</v>
      </c>
      <c r="AC631" s="3" t="str">
        <f t="shared" si="32"/>
        <v>17:29</v>
      </c>
      <c r="AD631" s="3">
        <f t="shared" si="33"/>
        <v>0.7284722222222223</v>
      </c>
      <c r="AE631" s="1">
        <v>63</v>
      </c>
      <c r="AF631" s="1">
        <v>10</v>
      </c>
      <c r="AG631" s="1">
        <v>9</v>
      </c>
    </row>
    <row r="632" spans="28:33" x14ac:dyDescent="0.3">
      <c r="AB632" s="3">
        <v>0.72916666666666496</v>
      </c>
      <c r="AC632" s="3" t="str">
        <f t="shared" si="32"/>
        <v>17:30</v>
      </c>
      <c r="AD632" s="3">
        <f t="shared" si="33"/>
        <v>0.72916666666666663</v>
      </c>
      <c r="AE632" s="1">
        <v>64</v>
      </c>
      <c r="AF632" s="1">
        <v>10</v>
      </c>
      <c r="AG632" s="1">
        <v>0</v>
      </c>
    </row>
    <row r="633" spans="28:33" x14ac:dyDescent="0.3">
      <c r="AB633" s="3">
        <v>0.72986111111110996</v>
      </c>
      <c r="AC633" s="3" t="str">
        <f t="shared" si="32"/>
        <v>17:31</v>
      </c>
      <c r="AD633" s="3">
        <f t="shared" si="33"/>
        <v>0.72986111111111107</v>
      </c>
      <c r="AE633" s="1">
        <v>64</v>
      </c>
      <c r="AF633" s="1">
        <v>10</v>
      </c>
      <c r="AG633" s="1">
        <v>1</v>
      </c>
    </row>
    <row r="634" spans="28:33" x14ac:dyDescent="0.3">
      <c r="AB634" s="3">
        <v>0.73055555555555396</v>
      </c>
      <c r="AC634" s="3" t="str">
        <f t="shared" si="32"/>
        <v>17:32</v>
      </c>
      <c r="AD634" s="3">
        <f t="shared" si="33"/>
        <v>0.73055555555555562</v>
      </c>
      <c r="AE634" s="1">
        <v>64</v>
      </c>
      <c r="AF634" s="1">
        <v>10</v>
      </c>
      <c r="AG634" s="1">
        <v>2</v>
      </c>
    </row>
    <row r="635" spans="28:33" x14ac:dyDescent="0.3">
      <c r="AB635" s="3">
        <v>0.73124999999999896</v>
      </c>
      <c r="AC635" s="3" t="str">
        <f t="shared" si="32"/>
        <v>17:33</v>
      </c>
      <c r="AD635" s="3">
        <f t="shared" si="33"/>
        <v>0.73125000000000007</v>
      </c>
      <c r="AE635" s="1">
        <v>64</v>
      </c>
      <c r="AF635" s="1">
        <v>10</v>
      </c>
      <c r="AG635" s="1">
        <v>3</v>
      </c>
    </row>
    <row r="636" spans="28:33" x14ac:dyDescent="0.3">
      <c r="AB636" s="3">
        <v>0.73194444444444295</v>
      </c>
      <c r="AC636" s="3" t="str">
        <f t="shared" si="32"/>
        <v>17:34</v>
      </c>
      <c r="AD636" s="3">
        <f t="shared" si="33"/>
        <v>0.7319444444444444</v>
      </c>
      <c r="AE636" s="1">
        <v>64</v>
      </c>
      <c r="AF636" s="1">
        <v>10</v>
      </c>
      <c r="AG636" s="1">
        <v>4</v>
      </c>
    </row>
    <row r="637" spans="28:33" x14ac:dyDescent="0.3">
      <c r="AB637" s="3">
        <v>0.73263888888888795</v>
      </c>
      <c r="AC637" s="3" t="str">
        <f t="shared" si="32"/>
        <v>17:35</v>
      </c>
      <c r="AD637" s="3">
        <f t="shared" si="33"/>
        <v>0.73263888888888884</v>
      </c>
      <c r="AE637" s="1">
        <v>64</v>
      </c>
      <c r="AF637" s="1">
        <v>10</v>
      </c>
      <c r="AG637" s="1">
        <v>5</v>
      </c>
    </row>
    <row r="638" spans="28:33" x14ac:dyDescent="0.3">
      <c r="AB638" s="3">
        <v>0.73333333333333195</v>
      </c>
      <c r="AC638" s="3" t="str">
        <f t="shared" si="32"/>
        <v>17:36</v>
      </c>
      <c r="AD638" s="3">
        <f t="shared" si="33"/>
        <v>0.73333333333333339</v>
      </c>
      <c r="AE638" s="1">
        <v>64</v>
      </c>
      <c r="AF638" s="1">
        <v>10</v>
      </c>
      <c r="AG638" s="1">
        <v>6</v>
      </c>
    </row>
    <row r="639" spans="28:33" x14ac:dyDescent="0.3">
      <c r="AB639" s="3">
        <v>0.73402777777777695</v>
      </c>
      <c r="AC639" s="3" t="str">
        <f t="shared" si="32"/>
        <v>17:37</v>
      </c>
      <c r="AD639" s="3">
        <f t="shared" si="33"/>
        <v>0.73402777777777783</v>
      </c>
      <c r="AE639" s="1">
        <v>64</v>
      </c>
      <c r="AF639" s="1">
        <v>10</v>
      </c>
      <c r="AG639" s="1">
        <v>7</v>
      </c>
    </row>
    <row r="640" spans="28:33" x14ac:dyDescent="0.3">
      <c r="AB640" s="3">
        <v>0.73472222222222106</v>
      </c>
      <c r="AC640" s="3" t="str">
        <f t="shared" si="32"/>
        <v>17:38</v>
      </c>
      <c r="AD640" s="3">
        <f t="shared" si="33"/>
        <v>0.73472222222222217</v>
      </c>
      <c r="AE640" s="1">
        <v>64</v>
      </c>
      <c r="AF640" s="1">
        <v>10</v>
      </c>
      <c r="AG640" s="1">
        <v>8</v>
      </c>
    </row>
    <row r="641" spans="28:33" x14ac:dyDescent="0.3">
      <c r="AB641" s="3">
        <v>0.73541666666666505</v>
      </c>
      <c r="AC641" s="3" t="str">
        <f t="shared" si="32"/>
        <v>17:39</v>
      </c>
      <c r="AD641" s="3">
        <f t="shared" si="33"/>
        <v>0.73541666666666661</v>
      </c>
      <c r="AE641" s="1">
        <v>64</v>
      </c>
      <c r="AF641" s="1">
        <v>10</v>
      </c>
      <c r="AG641" s="1">
        <v>9</v>
      </c>
    </row>
    <row r="642" spans="28:33" x14ac:dyDescent="0.3">
      <c r="AB642" s="3">
        <v>0.73611111111111005</v>
      </c>
      <c r="AC642" s="3" t="str">
        <f t="shared" si="32"/>
        <v>17:40</v>
      </c>
      <c r="AD642" s="3">
        <f t="shared" si="33"/>
        <v>0.73611111111111116</v>
      </c>
      <c r="AE642" s="1">
        <v>65</v>
      </c>
      <c r="AF642" s="1">
        <v>10</v>
      </c>
      <c r="AG642" s="1">
        <v>0</v>
      </c>
    </row>
    <row r="643" spans="28:33" x14ac:dyDescent="0.3">
      <c r="AB643" s="3">
        <v>0.73680555555555405</v>
      </c>
      <c r="AC643" s="3" t="str">
        <f t="shared" ref="AC643:AC706" si="34">TEXT(AB643,"hh:mm")</f>
        <v>17:41</v>
      </c>
      <c r="AD643" s="3">
        <f t="shared" ref="AD643:AD706" si="35">VALUE(AC643)</f>
        <v>0.7368055555555556</v>
      </c>
      <c r="AE643" s="1">
        <v>65</v>
      </c>
      <c r="AF643" s="1">
        <v>10</v>
      </c>
      <c r="AG643" s="1">
        <v>1</v>
      </c>
    </row>
    <row r="644" spans="28:33" x14ac:dyDescent="0.3">
      <c r="AB644" s="3">
        <v>0.73749999999999905</v>
      </c>
      <c r="AC644" s="3" t="str">
        <f t="shared" si="34"/>
        <v>17:42</v>
      </c>
      <c r="AD644" s="3">
        <f t="shared" si="35"/>
        <v>0.73749999999999993</v>
      </c>
      <c r="AE644" s="1">
        <v>65</v>
      </c>
      <c r="AF644" s="1">
        <v>10</v>
      </c>
      <c r="AG644" s="1">
        <v>2</v>
      </c>
    </row>
    <row r="645" spans="28:33" x14ac:dyDescent="0.3">
      <c r="AB645" s="3">
        <v>0.73819444444444304</v>
      </c>
      <c r="AC645" s="3" t="str">
        <f t="shared" si="34"/>
        <v>17:43</v>
      </c>
      <c r="AD645" s="3">
        <f t="shared" si="35"/>
        <v>0.73819444444444438</v>
      </c>
      <c r="AE645" s="1">
        <v>65</v>
      </c>
      <c r="AF645" s="1">
        <v>10</v>
      </c>
      <c r="AG645" s="1">
        <v>3</v>
      </c>
    </row>
    <row r="646" spans="28:33" x14ac:dyDescent="0.3">
      <c r="AB646" s="3">
        <v>0.73888888888888804</v>
      </c>
      <c r="AC646" s="3" t="str">
        <f t="shared" si="34"/>
        <v>17:44</v>
      </c>
      <c r="AD646" s="3">
        <f t="shared" si="35"/>
        <v>0.73888888888888893</v>
      </c>
      <c r="AE646" s="1">
        <v>65</v>
      </c>
      <c r="AF646" s="1">
        <v>10</v>
      </c>
      <c r="AG646" s="1">
        <v>4</v>
      </c>
    </row>
    <row r="647" spans="28:33" x14ac:dyDescent="0.3">
      <c r="AB647" s="3">
        <v>0.73958333333333204</v>
      </c>
      <c r="AC647" s="3" t="str">
        <f t="shared" si="34"/>
        <v>17:45</v>
      </c>
      <c r="AD647" s="3">
        <f t="shared" si="35"/>
        <v>0.73958333333333337</v>
      </c>
      <c r="AE647" s="1">
        <v>65</v>
      </c>
      <c r="AF647" s="1">
        <v>10</v>
      </c>
      <c r="AG647" s="1">
        <v>5</v>
      </c>
    </row>
    <row r="648" spans="28:33" x14ac:dyDescent="0.3">
      <c r="AB648" s="3">
        <v>0.74027777777777704</v>
      </c>
      <c r="AC648" s="3" t="str">
        <f t="shared" si="34"/>
        <v>17:46</v>
      </c>
      <c r="AD648" s="3">
        <f t="shared" si="35"/>
        <v>0.7402777777777777</v>
      </c>
      <c r="AE648" s="1">
        <v>65</v>
      </c>
      <c r="AF648" s="1">
        <v>10</v>
      </c>
      <c r="AG648" s="1">
        <v>6</v>
      </c>
    </row>
    <row r="649" spans="28:33" x14ac:dyDescent="0.3">
      <c r="AB649" s="3">
        <v>0.74097222222222103</v>
      </c>
      <c r="AC649" s="3" t="str">
        <f t="shared" si="34"/>
        <v>17:47</v>
      </c>
      <c r="AD649" s="3">
        <f t="shared" si="35"/>
        <v>0.74097222222222225</v>
      </c>
      <c r="AE649" s="1">
        <v>65</v>
      </c>
      <c r="AF649" s="1">
        <v>10</v>
      </c>
      <c r="AG649" s="1">
        <v>7</v>
      </c>
    </row>
    <row r="650" spans="28:33" x14ac:dyDescent="0.3">
      <c r="AB650" s="3">
        <v>0.74166666666666503</v>
      </c>
      <c r="AC650" s="3" t="str">
        <f t="shared" si="34"/>
        <v>17:48</v>
      </c>
      <c r="AD650" s="3">
        <f t="shared" si="35"/>
        <v>0.7416666666666667</v>
      </c>
      <c r="AE650" s="1">
        <v>65</v>
      </c>
      <c r="AF650" s="1">
        <v>10</v>
      </c>
      <c r="AG650" s="1">
        <v>8</v>
      </c>
    </row>
    <row r="651" spans="28:33" x14ac:dyDescent="0.3">
      <c r="AB651" s="3">
        <v>0.74236111111111003</v>
      </c>
      <c r="AC651" s="3" t="str">
        <f t="shared" si="34"/>
        <v>17:49</v>
      </c>
      <c r="AD651" s="3">
        <f t="shared" si="35"/>
        <v>0.74236111111111114</v>
      </c>
      <c r="AE651" s="1">
        <v>65</v>
      </c>
      <c r="AF651" s="1">
        <v>10</v>
      </c>
      <c r="AG651" s="1">
        <v>9</v>
      </c>
    </row>
    <row r="652" spans="28:33" x14ac:dyDescent="0.3">
      <c r="AB652" s="3">
        <v>0.74305555555555403</v>
      </c>
      <c r="AC652" s="3" t="str">
        <f t="shared" si="34"/>
        <v>17:50</v>
      </c>
      <c r="AD652" s="3">
        <f t="shared" si="35"/>
        <v>0.74305555555555547</v>
      </c>
      <c r="AE652" s="1">
        <v>66</v>
      </c>
      <c r="AF652" s="1">
        <v>10</v>
      </c>
      <c r="AG652" s="1">
        <v>0</v>
      </c>
    </row>
    <row r="653" spans="28:33" x14ac:dyDescent="0.3">
      <c r="AB653" s="3">
        <v>0.74374999999999902</v>
      </c>
      <c r="AC653" s="3" t="str">
        <f t="shared" si="34"/>
        <v>17:51</v>
      </c>
      <c r="AD653" s="3">
        <f t="shared" si="35"/>
        <v>0.74375000000000002</v>
      </c>
      <c r="AE653" s="1">
        <v>66</v>
      </c>
      <c r="AF653" s="1">
        <v>10</v>
      </c>
      <c r="AG653" s="1">
        <v>1</v>
      </c>
    </row>
    <row r="654" spans="28:33" x14ac:dyDescent="0.3">
      <c r="AB654" s="3">
        <v>0.74444444444444302</v>
      </c>
      <c r="AC654" s="3" t="str">
        <f t="shared" si="34"/>
        <v>17:52</v>
      </c>
      <c r="AD654" s="3">
        <f t="shared" si="35"/>
        <v>0.74444444444444446</v>
      </c>
      <c r="AE654" s="1">
        <v>66</v>
      </c>
      <c r="AF654" s="1">
        <v>10</v>
      </c>
      <c r="AG654" s="1">
        <v>2</v>
      </c>
    </row>
    <row r="655" spans="28:33" x14ac:dyDescent="0.3">
      <c r="AB655" s="3">
        <v>0.74513888888888802</v>
      </c>
      <c r="AC655" s="3" t="str">
        <f t="shared" si="34"/>
        <v>17:53</v>
      </c>
      <c r="AD655" s="3">
        <f t="shared" si="35"/>
        <v>0.74513888888888891</v>
      </c>
      <c r="AE655" s="1">
        <v>66</v>
      </c>
      <c r="AF655" s="1">
        <v>10</v>
      </c>
      <c r="AG655" s="1">
        <v>3</v>
      </c>
    </row>
    <row r="656" spans="28:33" x14ac:dyDescent="0.3">
      <c r="AB656" s="3">
        <v>0.74583333333333202</v>
      </c>
      <c r="AC656" s="3" t="str">
        <f t="shared" si="34"/>
        <v>17:54</v>
      </c>
      <c r="AD656" s="3">
        <f t="shared" si="35"/>
        <v>0.74583333333333324</v>
      </c>
      <c r="AE656" s="1">
        <v>66</v>
      </c>
      <c r="AF656" s="1">
        <v>10</v>
      </c>
      <c r="AG656" s="1">
        <v>4</v>
      </c>
    </row>
    <row r="657" spans="28:33" x14ac:dyDescent="0.3">
      <c r="AB657" s="3">
        <v>0.74652777777777601</v>
      </c>
      <c r="AC657" s="3" t="str">
        <f t="shared" si="34"/>
        <v>17:55</v>
      </c>
      <c r="AD657" s="3">
        <f t="shared" si="35"/>
        <v>0.74652777777777779</v>
      </c>
      <c r="AE657" s="1">
        <v>66</v>
      </c>
      <c r="AF657" s="1">
        <v>10</v>
      </c>
      <c r="AG657" s="1">
        <v>5</v>
      </c>
    </row>
    <row r="658" spans="28:33" x14ac:dyDescent="0.3">
      <c r="AB658" s="3">
        <v>0.74722222222222101</v>
      </c>
      <c r="AC658" s="3" t="str">
        <f t="shared" si="34"/>
        <v>17:56</v>
      </c>
      <c r="AD658" s="3">
        <f t="shared" si="35"/>
        <v>0.74722222222222223</v>
      </c>
      <c r="AE658" s="1">
        <v>66</v>
      </c>
      <c r="AF658" s="1">
        <v>10</v>
      </c>
      <c r="AG658" s="1">
        <v>6</v>
      </c>
    </row>
    <row r="659" spans="28:33" x14ac:dyDescent="0.3">
      <c r="AB659" s="3">
        <v>0.74791666666666501</v>
      </c>
      <c r="AC659" s="3" t="str">
        <f t="shared" si="34"/>
        <v>17:57</v>
      </c>
      <c r="AD659" s="3">
        <f t="shared" si="35"/>
        <v>0.74791666666666667</v>
      </c>
      <c r="AE659" s="1">
        <v>66</v>
      </c>
      <c r="AF659" s="1">
        <v>10</v>
      </c>
      <c r="AG659" s="1">
        <v>7</v>
      </c>
    </row>
    <row r="660" spans="28:33" x14ac:dyDescent="0.3">
      <c r="AB660" s="3">
        <v>0.74861111111111001</v>
      </c>
      <c r="AC660" s="3" t="str">
        <f t="shared" si="34"/>
        <v>17:58</v>
      </c>
      <c r="AD660" s="3">
        <f t="shared" si="35"/>
        <v>0.74861111111111101</v>
      </c>
      <c r="AE660" s="1">
        <v>66</v>
      </c>
      <c r="AF660" s="1">
        <v>10</v>
      </c>
      <c r="AG660" s="1">
        <v>8</v>
      </c>
    </row>
    <row r="661" spans="28:33" x14ac:dyDescent="0.3">
      <c r="AB661" s="3">
        <v>0.749305555555554</v>
      </c>
      <c r="AC661" s="3" t="str">
        <f t="shared" si="34"/>
        <v>17:59</v>
      </c>
      <c r="AD661" s="3">
        <f t="shared" si="35"/>
        <v>0.74930555555555556</v>
      </c>
      <c r="AE661" s="1">
        <v>66</v>
      </c>
      <c r="AF661" s="1">
        <v>10</v>
      </c>
      <c r="AG661" s="1">
        <v>9</v>
      </c>
    </row>
    <row r="662" spans="28:33" x14ac:dyDescent="0.3">
      <c r="AB662" s="3">
        <v>0.749999999999999</v>
      </c>
      <c r="AC662" s="3" t="str">
        <f t="shared" si="34"/>
        <v>18:00</v>
      </c>
      <c r="AD662" s="3">
        <f t="shared" si="35"/>
        <v>0.75</v>
      </c>
      <c r="AE662" s="1">
        <v>67</v>
      </c>
      <c r="AF662" s="1">
        <v>10</v>
      </c>
      <c r="AG662" s="1">
        <v>0</v>
      </c>
    </row>
    <row r="663" spans="28:33" x14ac:dyDescent="0.3">
      <c r="AB663" s="3">
        <v>0.750694444444443</v>
      </c>
      <c r="AC663" s="3" t="str">
        <f t="shared" si="34"/>
        <v>18:01</v>
      </c>
      <c r="AD663" s="3">
        <f t="shared" si="35"/>
        <v>0.75069444444444444</v>
      </c>
      <c r="AE663" s="1">
        <v>67</v>
      </c>
      <c r="AF663" s="1">
        <v>10</v>
      </c>
      <c r="AG663" s="1">
        <v>1</v>
      </c>
    </row>
    <row r="664" spans="28:33" x14ac:dyDescent="0.3">
      <c r="AB664" s="3">
        <v>0.751388888888888</v>
      </c>
      <c r="AC664" s="3" t="str">
        <f t="shared" si="34"/>
        <v>18:02</v>
      </c>
      <c r="AD664" s="3">
        <f t="shared" si="35"/>
        <v>0.75138888888888899</v>
      </c>
      <c r="AE664" s="1">
        <v>67</v>
      </c>
      <c r="AF664" s="1">
        <v>10</v>
      </c>
      <c r="AG664" s="1">
        <v>2</v>
      </c>
    </row>
    <row r="665" spans="28:33" x14ac:dyDescent="0.3">
      <c r="AB665" s="3">
        <v>0.75208333333333199</v>
      </c>
      <c r="AC665" s="3" t="str">
        <f t="shared" si="34"/>
        <v>18:03</v>
      </c>
      <c r="AD665" s="3">
        <f t="shared" si="35"/>
        <v>0.75208333333333333</v>
      </c>
      <c r="AE665" s="1">
        <v>67</v>
      </c>
      <c r="AF665" s="1">
        <v>10</v>
      </c>
      <c r="AG665" s="1">
        <v>3</v>
      </c>
    </row>
    <row r="666" spans="28:33" x14ac:dyDescent="0.3">
      <c r="AB666" s="3">
        <v>0.75277777777777599</v>
      </c>
      <c r="AC666" s="3" t="str">
        <f t="shared" si="34"/>
        <v>18:04</v>
      </c>
      <c r="AD666" s="3">
        <f t="shared" si="35"/>
        <v>0.75277777777777777</v>
      </c>
      <c r="AE666" s="1">
        <v>67</v>
      </c>
      <c r="AF666" s="1">
        <v>10</v>
      </c>
      <c r="AG666" s="1">
        <v>4</v>
      </c>
    </row>
    <row r="667" spans="28:33" x14ac:dyDescent="0.3">
      <c r="AB667" s="3">
        <v>0.75347222222222099</v>
      </c>
      <c r="AC667" s="3" t="str">
        <f t="shared" si="34"/>
        <v>18:05</v>
      </c>
      <c r="AD667" s="3">
        <f t="shared" si="35"/>
        <v>0.75347222222222221</v>
      </c>
      <c r="AE667" s="1">
        <v>67</v>
      </c>
      <c r="AF667" s="1">
        <v>10</v>
      </c>
      <c r="AG667" s="1">
        <v>5</v>
      </c>
    </row>
    <row r="668" spans="28:33" x14ac:dyDescent="0.3">
      <c r="AB668" s="3">
        <v>0.75416666666666499</v>
      </c>
      <c r="AC668" s="3" t="str">
        <f t="shared" si="34"/>
        <v>18:06</v>
      </c>
      <c r="AD668" s="3">
        <f t="shared" si="35"/>
        <v>0.75416666666666676</v>
      </c>
      <c r="AE668" s="1">
        <v>67</v>
      </c>
      <c r="AF668" s="1">
        <v>10</v>
      </c>
      <c r="AG668" s="1">
        <v>6</v>
      </c>
    </row>
    <row r="669" spans="28:33" x14ac:dyDescent="0.3">
      <c r="AB669" s="3">
        <v>0.75486111111110998</v>
      </c>
      <c r="AC669" s="3" t="str">
        <f t="shared" si="34"/>
        <v>18:07</v>
      </c>
      <c r="AD669" s="3">
        <f t="shared" si="35"/>
        <v>0.75486111111111109</v>
      </c>
      <c r="AE669" s="1">
        <v>67</v>
      </c>
      <c r="AF669" s="1">
        <v>10</v>
      </c>
      <c r="AG669" s="1">
        <v>7</v>
      </c>
    </row>
    <row r="670" spans="28:33" x14ac:dyDescent="0.3">
      <c r="AB670" s="3">
        <v>0.75555555555555398</v>
      </c>
      <c r="AC670" s="3" t="str">
        <f t="shared" si="34"/>
        <v>18:08</v>
      </c>
      <c r="AD670" s="3">
        <f t="shared" si="35"/>
        <v>0.75555555555555554</v>
      </c>
      <c r="AE670" s="1">
        <v>67</v>
      </c>
      <c r="AF670" s="1">
        <v>10</v>
      </c>
      <c r="AG670" s="1">
        <v>8</v>
      </c>
    </row>
    <row r="671" spans="28:33" x14ac:dyDescent="0.3">
      <c r="AB671" s="3">
        <v>0.75624999999999898</v>
      </c>
      <c r="AC671" s="3" t="str">
        <f t="shared" si="34"/>
        <v>18:09</v>
      </c>
      <c r="AD671" s="3">
        <f t="shared" si="35"/>
        <v>0.75624999999999998</v>
      </c>
      <c r="AE671" s="1">
        <v>67</v>
      </c>
      <c r="AF671" s="1">
        <v>10</v>
      </c>
      <c r="AG671" s="1">
        <v>9</v>
      </c>
    </row>
    <row r="672" spans="28:33" x14ac:dyDescent="0.3">
      <c r="AB672" s="3">
        <v>0.75694444444444298</v>
      </c>
      <c r="AC672" s="3" t="str">
        <f t="shared" si="34"/>
        <v>18:10</v>
      </c>
      <c r="AD672" s="3">
        <f t="shared" si="35"/>
        <v>0.75694444444444453</v>
      </c>
      <c r="AE672" s="1">
        <v>68</v>
      </c>
      <c r="AF672" s="1">
        <v>10</v>
      </c>
      <c r="AG672" s="1">
        <v>0</v>
      </c>
    </row>
    <row r="673" spans="28:33" x14ac:dyDescent="0.3">
      <c r="AB673" s="3">
        <v>0.75763888888888797</v>
      </c>
      <c r="AC673" s="3" t="str">
        <f t="shared" si="34"/>
        <v>18:11</v>
      </c>
      <c r="AD673" s="3">
        <f t="shared" si="35"/>
        <v>0.75763888888888886</v>
      </c>
      <c r="AE673" s="1">
        <v>68</v>
      </c>
      <c r="AF673" s="1">
        <v>10</v>
      </c>
      <c r="AG673" s="1">
        <v>1</v>
      </c>
    </row>
    <row r="674" spans="28:33" x14ac:dyDescent="0.3">
      <c r="AB674" s="3">
        <v>0.75833333333333197</v>
      </c>
      <c r="AC674" s="3" t="str">
        <f t="shared" si="34"/>
        <v>18:12</v>
      </c>
      <c r="AD674" s="3">
        <f t="shared" si="35"/>
        <v>0.7583333333333333</v>
      </c>
      <c r="AE674" s="1">
        <v>68</v>
      </c>
      <c r="AF674" s="1">
        <v>10</v>
      </c>
      <c r="AG674" s="1">
        <v>2</v>
      </c>
    </row>
    <row r="675" spans="28:33" x14ac:dyDescent="0.3">
      <c r="AB675" s="3">
        <v>0.75902777777777597</v>
      </c>
      <c r="AC675" s="3" t="str">
        <f t="shared" si="34"/>
        <v>18:13</v>
      </c>
      <c r="AD675" s="3">
        <f t="shared" si="35"/>
        <v>0.75902777777777775</v>
      </c>
      <c r="AE675" s="1">
        <v>68</v>
      </c>
      <c r="AF675" s="1">
        <v>10</v>
      </c>
      <c r="AG675" s="1">
        <v>3</v>
      </c>
    </row>
    <row r="676" spans="28:33" x14ac:dyDescent="0.3">
      <c r="AB676" s="3">
        <v>0.75972222222222097</v>
      </c>
      <c r="AC676" s="3" t="str">
        <f t="shared" si="34"/>
        <v>18:14</v>
      </c>
      <c r="AD676" s="3">
        <f t="shared" si="35"/>
        <v>0.7597222222222223</v>
      </c>
      <c r="AE676" s="1">
        <v>68</v>
      </c>
      <c r="AF676" s="1">
        <v>10</v>
      </c>
      <c r="AG676" s="1">
        <v>4</v>
      </c>
    </row>
    <row r="677" spans="28:33" x14ac:dyDescent="0.3">
      <c r="AB677" s="3">
        <v>0.76041666666666496</v>
      </c>
      <c r="AC677" s="3" t="str">
        <f t="shared" si="34"/>
        <v>18:15</v>
      </c>
      <c r="AD677" s="3">
        <f t="shared" si="35"/>
        <v>0.76041666666666663</v>
      </c>
      <c r="AE677" s="1">
        <v>68</v>
      </c>
      <c r="AF677" s="1">
        <v>10</v>
      </c>
      <c r="AG677" s="1">
        <v>5</v>
      </c>
    </row>
    <row r="678" spans="28:33" x14ac:dyDescent="0.3">
      <c r="AB678" s="3">
        <v>0.76111111111110996</v>
      </c>
      <c r="AC678" s="3" t="str">
        <f t="shared" si="34"/>
        <v>18:16</v>
      </c>
      <c r="AD678" s="3">
        <f t="shared" si="35"/>
        <v>0.76111111111111107</v>
      </c>
      <c r="AE678" s="1">
        <v>68</v>
      </c>
      <c r="AF678" s="1">
        <v>10</v>
      </c>
      <c r="AG678" s="1">
        <v>6</v>
      </c>
    </row>
    <row r="679" spans="28:33" x14ac:dyDescent="0.3">
      <c r="AB679" s="3">
        <v>0.76180555555555396</v>
      </c>
      <c r="AC679" s="3" t="str">
        <f t="shared" si="34"/>
        <v>18:17</v>
      </c>
      <c r="AD679" s="3">
        <f t="shared" si="35"/>
        <v>0.76180555555555562</v>
      </c>
      <c r="AE679" s="1">
        <v>68</v>
      </c>
      <c r="AF679" s="1">
        <v>10</v>
      </c>
      <c r="AG679" s="1">
        <v>7</v>
      </c>
    </row>
    <row r="680" spans="28:33" x14ac:dyDescent="0.3">
      <c r="AB680" s="3">
        <v>0.76249999999999896</v>
      </c>
      <c r="AC680" s="3" t="str">
        <f t="shared" si="34"/>
        <v>18:18</v>
      </c>
      <c r="AD680" s="3">
        <f t="shared" si="35"/>
        <v>0.76250000000000007</v>
      </c>
      <c r="AE680" s="1">
        <v>68</v>
      </c>
      <c r="AF680" s="1">
        <v>10</v>
      </c>
      <c r="AG680" s="1">
        <v>8</v>
      </c>
    </row>
    <row r="681" spans="28:33" x14ac:dyDescent="0.3">
      <c r="AB681" s="3">
        <v>0.76319444444444295</v>
      </c>
      <c r="AC681" s="3" t="str">
        <f t="shared" si="34"/>
        <v>18:19</v>
      </c>
      <c r="AD681" s="3">
        <f t="shared" si="35"/>
        <v>0.7631944444444444</v>
      </c>
      <c r="AE681" s="1">
        <v>68</v>
      </c>
      <c r="AF681" s="1">
        <v>10</v>
      </c>
      <c r="AG681" s="1">
        <v>9</v>
      </c>
    </row>
    <row r="682" spans="28:33" x14ac:dyDescent="0.3">
      <c r="AB682" s="3">
        <v>0.76388888888888795</v>
      </c>
      <c r="AC682" s="3" t="str">
        <f t="shared" si="34"/>
        <v>18:20</v>
      </c>
      <c r="AD682" s="3">
        <f t="shared" si="35"/>
        <v>0.76388888888888884</v>
      </c>
      <c r="AE682" s="1">
        <v>69</v>
      </c>
      <c r="AF682" s="1">
        <v>10</v>
      </c>
      <c r="AG682" s="1">
        <v>0</v>
      </c>
    </row>
    <row r="683" spans="28:33" x14ac:dyDescent="0.3">
      <c r="AB683" s="3">
        <v>0.76458333333333195</v>
      </c>
      <c r="AC683" s="3" t="str">
        <f t="shared" si="34"/>
        <v>18:21</v>
      </c>
      <c r="AD683" s="3">
        <f t="shared" si="35"/>
        <v>0.76458333333333339</v>
      </c>
      <c r="AE683" s="1">
        <v>69</v>
      </c>
      <c r="AF683" s="1">
        <v>10</v>
      </c>
      <c r="AG683" s="1">
        <v>1</v>
      </c>
    </row>
    <row r="684" spans="28:33" x14ac:dyDescent="0.3">
      <c r="AB684" s="3">
        <v>0.76527777777777595</v>
      </c>
      <c r="AC684" s="3" t="str">
        <f t="shared" si="34"/>
        <v>18:22</v>
      </c>
      <c r="AD684" s="3">
        <f t="shared" si="35"/>
        <v>0.76527777777777783</v>
      </c>
      <c r="AE684" s="1">
        <v>69</v>
      </c>
      <c r="AF684" s="1">
        <v>10</v>
      </c>
      <c r="AG684" s="1">
        <v>2</v>
      </c>
    </row>
    <row r="685" spans="28:33" x14ac:dyDescent="0.3">
      <c r="AB685" s="3">
        <v>0.76597222222222106</v>
      </c>
      <c r="AC685" s="3" t="str">
        <f t="shared" si="34"/>
        <v>18:23</v>
      </c>
      <c r="AD685" s="3">
        <f t="shared" si="35"/>
        <v>0.76597222222222217</v>
      </c>
      <c r="AE685" s="1">
        <v>69</v>
      </c>
      <c r="AF685" s="1">
        <v>10</v>
      </c>
      <c r="AG685" s="1">
        <v>3</v>
      </c>
    </row>
    <row r="686" spans="28:33" x14ac:dyDescent="0.3">
      <c r="AB686" s="3">
        <v>0.76666666666666505</v>
      </c>
      <c r="AC686" s="3" t="str">
        <f t="shared" si="34"/>
        <v>18:24</v>
      </c>
      <c r="AD686" s="3">
        <f t="shared" si="35"/>
        <v>0.76666666666666661</v>
      </c>
      <c r="AE686" s="1">
        <v>69</v>
      </c>
      <c r="AF686" s="1">
        <v>10</v>
      </c>
      <c r="AG686" s="1">
        <v>4</v>
      </c>
    </row>
    <row r="687" spans="28:33" x14ac:dyDescent="0.3">
      <c r="AB687" s="3">
        <v>0.76736111111111005</v>
      </c>
      <c r="AC687" s="3" t="str">
        <f t="shared" si="34"/>
        <v>18:25</v>
      </c>
      <c r="AD687" s="3">
        <f t="shared" si="35"/>
        <v>0.76736111111111116</v>
      </c>
      <c r="AE687" s="1">
        <v>69</v>
      </c>
      <c r="AF687" s="1">
        <v>10</v>
      </c>
      <c r="AG687" s="1">
        <v>5</v>
      </c>
    </row>
    <row r="688" spans="28:33" x14ac:dyDescent="0.3">
      <c r="AB688" s="3">
        <v>0.76805555555555405</v>
      </c>
      <c r="AC688" s="3" t="str">
        <f t="shared" si="34"/>
        <v>18:26</v>
      </c>
      <c r="AD688" s="3">
        <f t="shared" si="35"/>
        <v>0.7680555555555556</v>
      </c>
      <c r="AE688" s="1">
        <v>69</v>
      </c>
      <c r="AF688" s="1">
        <v>10</v>
      </c>
      <c r="AG688" s="1">
        <v>6</v>
      </c>
    </row>
    <row r="689" spans="28:33" x14ac:dyDescent="0.3">
      <c r="AB689" s="3">
        <v>0.76874999999999905</v>
      </c>
      <c r="AC689" s="3" t="str">
        <f t="shared" si="34"/>
        <v>18:27</v>
      </c>
      <c r="AD689" s="3">
        <f t="shared" si="35"/>
        <v>0.76874999999999993</v>
      </c>
      <c r="AE689" s="1">
        <v>69</v>
      </c>
      <c r="AF689" s="1">
        <v>10</v>
      </c>
      <c r="AG689" s="1">
        <v>7</v>
      </c>
    </row>
    <row r="690" spans="28:33" x14ac:dyDescent="0.3">
      <c r="AB690" s="3">
        <v>0.76944444444444304</v>
      </c>
      <c r="AC690" s="3" t="str">
        <f t="shared" si="34"/>
        <v>18:28</v>
      </c>
      <c r="AD690" s="3">
        <f t="shared" si="35"/>
        <v>0.76944444444444438</v>
      </c>
      <c r="AE690" s="1">
        <v>69</v>
      </c>
      <c r="AF690" s="1">
        <v>10</v>
      </c>
      <c r="AG690" s="1">
        <v>8</v>
      </c>
    </row>
    <row r="691" spans="28:33" x14ac:dyDescent="0.3">
      <c r="AB691" s="3">
        <v>0.77013888888888804</v>
      </c>
      <c r="AC691" s="3" t="str">
        <f t="shared" si="34"/>
        <v>18:29</v>
      </c>
      <c r="AD691" s="3">
        <f t="shared" si="35"/>
        <v>0.77013888888888893</v>
      </c>
      <c r="AE691" s="1">
        <v>69</v>
      </c>
      <c r="AF691" s="1">
        <v>10</v>
      </c>
      <c r="AG691" s="1">
        <v>9</v>
      </c>
    </row>
    <row r="692" spans="28:33" x14ac:dyDescent="0.3">
      <c r="AB692" s="3">
        <v>0.77083333333333204</v>
      </c>
      <c r="AC692" s="3" t="str">
        <f t="shared" si="34"/>
        <v>18:30</v>
      </c>
      <c r="AD692" s="3">
        <f t="shared" si="35"/>
        <v>0.77083333333333337</v>
      </c>
      <c r="AE692" s="1">
        <v>70</v>
      </c>
      <c r="AF692" s="1">
        <v>10</v>
      </c>
      <c r="AG692" s="1">
        <v>0</v>
      </c>
    </row>
    <row r="693" spans="28:33" x14ac:dyDescent="0.3">
      <c r="AB693" s="3">
        <v>0.77152777777777604</v>
      </c>
      <c r="AC693" s="3" t="str">
        <f t="shared" si="34"/>
        <v>18:31</v>
      </c>
      <c r="AD693" s="3">
        <f t="shared" si="35"/>
        <v>0.7715277777777777</v>
      </c>
      <c r="AE693" s="1">
        <v>70</v>
      </c>
      <c r="AF693" s="1">
        <v>10</v>
      </c>
      <c r="AG693" s="1">
        <v>1</v>
      </c>
    </row>
    <row r="694" spans="28:33" x14ac:dyDescent="0.3">
      <c r="AB694" s="3">
        <v>0.77222222222222103</v>
      </c>
      <c r="AC694" s="3" t="str">
        <f t="shared" si="34"/>
        <v>18:32</v>
      </c>
      <c r="AD694" s="3">
        <f t="shared" si="35"/>
        <v>0.77222222222222225</v>
      </c>
      <c r="AE694" s="1">
        <v>70</v>
      </c>
      <c r="AF694" s="1">
        <v>10</v>
      </c>
      <c r="AG694" s="1">
        <v>2</v>
      </c>
    </row>
    <row r="695" spans="28:33" x14ac:dyDescent="0.3">
      <c r="AB695" s="3">
        <v>0.77291666666666503</v>
      </c>
      <c r="AC695" s="3" t="str">
        <f t="shared" si="34"/>
        <v>18:33</v>
      </c>
      <c r="AD695" s="3">
        <f t="shared" si="35"/>
        <v>0.7729166666666667</v>
      </c>
      <c r="AE695" s="1">
        <v>70</v>
      </c>
      <c r="AF695" s="1">
        <v>10</v>
      </c>
      <c r="AG695" s="1">
        <v>3</v>
      </c>
    </row>
    <row r="696" spans="28:33" x14ac:dyDescent="0.3">
      <c r="AB696" s="3">
        <v>0.77361111111111003</v>
      </c>
      <c r="AC696" s="3" t="str">
        <f t="shared" si="34"/>
        <v>18:34</v>
      </c>
      <c r="AD696" s="3">
        <f t="shared" si="35"/>
        <v>0.77361111111111114</v>
      </c>
      <c r="AE696" s="1">
        <v>70</v>
      </c>
      <c r="AF696" s="1">
        <v>10</v>
      </c>
      <c r="AG696" s="1">
        <v>4</v>
      </c>
    </row>
    <row r="697" spans="28:33" x14ac:dyDescent="0.3">
      <c r="AB697" s="3">
        <v>0.77430555555555403</v>
      </c>
      <c r="AC697" s="3" t="str">
        <f t="shared" si="34"/>
        <v>18:35</v>
      </c>
      <c r="AD697" s="3">
        <f t="shared" si="35"/>
        <v>0.77430555555555547</v>
      </c>
      <c r="AE697" s="1">
        <v>70</v>
      </c>
      <c r="AF697" s="1">
        <v>10</v>
      </c>
      <c r="AG697" s="1">
        <v>5</v>
      </c>
    </row>
    <row r="698" spans="28:33" x14ac:dyDescent="0.3">
      <c r="AB698" s="3">
        <v>0.77499999999999902</v>
      </c>
      <c r="AC698" s="3" t="str">
        <f t="shared" si="34"/>
        <v>18:36</v>
      </c>
      <c r="AD698" s="3">
        <f t="shared" si="35"/>
        <v>0.77500000000000002</v>
      </c>
      <c r="AE698" s="1">
        <v>70</v>
      </c>
      <c r="AF698" s="1">
        <v>10</v>
      </c>
      <c r="AG698" s="1">
        <v>6</v>
      </c>
    </row>
    <row r="699" spans="28:33" x14ac:dyDescent="0.3">
      <c r="AB699" s="3">
        <v>0.77569444444444302</v>
      </c>
      <c r="AC699" s="3" t="str">
        <f t="shared" si="34"/>
        <v>18:37</v>
      </c>
      <c r="AD699" s="3">
        <f t="shared" si="35"/>
        <v>0.77569444444444446</v>
      </c>
      <c r="AE699" s="1">
        <v>70</v>
      </c>
      <c r="AF699" s="1">
        <v>10</v>
      </c>
      <c r="AG699" s="1">
        <v>7</v>
      </c>
    </row>
    <row r="700" spans="28:33" x14ac:dyDescent="0.3">
      <c r="AB700" s="3">
        <v>0.77638888888888802</v>
      </c>
      <c r="AC700" s="3" t="str">
        <f t="shared" si="34"/>
        <v>18:38</v>
      </c>
      <c r="AD700" s="3">
        <f t="shared" si="35"/>
        <v>0.77638888888888891</v>
      </c>
      <c r="AE700" s="1">
        <v>70</v>
      </c>
      <c r="AF700" s="1">
        <v>10</v>
      </c>
      <c r="AG700" s="1">
        <v>8</v>
      </c>
    </row>
    <row r="701" spans="28:33" x14ac:dyDescent="0.3">
      <c r="AB701" s="3">
        <v>0.77708333333333202</v>
      </c>
      <c r="AC701" s="3" t="str">
        <f t="shared" si="34"/>
        <v>18:39</v>
      </c>
      <c r="AD701" s="3">
        <f t="shared" si="35"/>
        <v>0.77708333333333324</v>
      </c>
      <c r="AE701" s="1">
        <v>70</v>
      </c>
      <c r="AF701" s="1">
        <v>10</v>
      </c>
      <c r="AG701" s="1">
        <v>9</v>
      </c>
    </row>
    <row r="702" spans="28:33" x14ac:dyDescent="0.3">
      <c r="AB702" s="3">
        <v>0.77777777777777601</v>
      </c>
      <c r="AC702" s="3" t="str">
        <f t="shared" si="34"/>
        <v>18:40</v>
      </c>
      <c r="AD702" s="3">
        <f t="shared" si="35"/>
        <v>0.77777777777777779</v>
      </c>
      <c r="AE702" s="1">
        <v>71</v>
      </c>
      <c r="AF702" s="1">
        <v>10</v>
      </c>
      <c r="AG702" s="1">
        <v>0</v>
      </c>
    </row>
    <row r="703" spans="28:33" x14ac:dyDescent="0.3">
      <c r="AB703" s="3">
        <v>0.77847222222222101</v>
      </c>
      <c r="AC703" s="3" t="str">
        <f t="shared" si="34"/>
        <v>18:41</v>
      </c>
      <c r="AD703" s="3">
        <f t="shared" si="35"/>
        <v>0.77847222222222223</v>
      </c>
      <c r="AE703" s="1">
        <v>71</v>
      </c>
      <c r="AF703" s="1">
        <v>10</v>
      </c>
      <c r="AG703" s="1">
        <v>1</v>
      </c>
    </row>
    <row r="704" spans="28:33" x14ac:dyDescent="0.3">
      <c r="AB704" s="3">
        <v>0.77916666666666501</v>
      </c>
      <c r="AC704" s="3" t="str">
        <f t="shared" si="34"/>
        <v>18:42</v>
      </c>
      <c r="AD704" s="3">
        <f t="shared" si="35"/>
        <v>0.77916666666666667</v>
      </c>
      <c r="AE704" s="1">
        <v>71</v>
      </c>
      <c r="AF704" s="1">
        <v>10</v>
      </c>
      <c r="AG704" s="1">
        <v>2</v>
      </c>
    </row>
    <row r="705" spans="28:33" x14ac:dyDescent="0.3">
      <c r="AB705" s="3">
        <v>0.77986111111111001</v>
      </c>
      <c r="AC705" s="3" t="str">
        <f t="shared" si="34"/>
        <v>18:43</v>
      </c>
      <c r="AD705" s="3">
        <f t="shared" si="35"/>
        <v>0.77986111111111101</v>
      </c>
      <c r="AE705" s="1">
        <v>71</v>
      </c>
      <c r="AF705" s="1">
        <v>10</v>
      </c>
      <c r="AG705" s="1">
        <v>3</v>
      </c>
    </row>
    <row r="706" spans="28:33" x14ac:dyDescent="0.3">
      <c r="AB706" s="3">
        <v>0.780555555555554</v>
      </c>
      <c r="AC706" s="3" t="str">
        <f t="shared" si="34"/>
        <v>18:44</v>
      </c>
      <c r="AD706" s="3">
        <f t="shared" si="35"/>
        <v>0.78055555555555556</v>
      </c>
      <c r="AE706" s="1">
        <v>71</v>
      </c>
      <c r="AF706" s="1">
        <v>10</v>
      </c>
      <c r="AG706" s="1">
        <v>4</v>
      </c>
    </row>
    <row r="707" spans="28:33" x14ac:dyDescent="0.3">
      <c r="AB707" s="3">
        <v>0.781249999999999</v>
      </c>
      <c r="AC707" s="3" t="str">
        <f t="shared" ref="AC707:AC770" si="36">TEXT(AB707,"hh:mm")</f>
        <v>18:45</v>
      </c>
      <c r="AD707" s="3">
        <f t="shared" ref="AD707:AD770" si="37">VALUE(AC707)</f>
        <v>0.78125</v>
      </c>
      <c r="AE707" s="1">
        <v>71</v>
      </c>
      <c r="AF707" s="1">
        <v>10</v>
      </c>
      <c r="AG707" s="1">
        <v>5</v>
      </c>
    </row>
    <row r="708" spans="28:33" x14ac:dyDescent="0.3">
      <c r="AB708" s="3">
        <v>0.781944444444443</v>
      </c>
      <c r="AC708" s="3" t="str">
        <f t="shared" si="36"/>
        <v>18:46</v>
      </c>
      <c r="AD708" s="3">
        <f t="shared" si="37"/>
        <v>0.78194444444444444</v>
      </c>
      <c r="AE708" s="1">
        <v>71</v>
      </c>
      <c r="AF708" s="1">
        <v>10</v>
      </c>
      <c r="AG708" s="1">
        <v>6</v>
      </c>
    </row>
    <row r="709" spans="28:33" x14ac:dyDescent="0.3">
      <c r="AB709" s="3">
        <v>0.782638888888887</v>
      </c>
      <c r="AC709" s="3" t="str">
        <f t="shared" si="36"/>
        <v>18:47</v>
      </c>
      <c r="AD709" s="3">
        <f t="shared" si="37"/>
        <v>0.78263888888888899</v>
      </c>
      <c r="AE709" s="1">
        <v>71</v>
      </c>
      <c r="AF709" s="1">
        <v>10</v>
      </c>
      <c r="AG709" s="1">
        <v>7</v>
      </c>
    </row>
    <row r="710" spans="28:33" x14ac:dyDescent="0.3">
      <c r="AB710" s="3">
        <v>0.78333333333333199</v>
      </c>
      <c r="AC710" s="3" t="str">
        <f t="shared" si="36"/>
        <v>18:48</v>
      </c>
      <c r="AD710" s="3">
        <f t="shared" si="37"/>
        <v>0.78333333333333333</v>
      </c>
      <c r="AE710" s="1">
        <v>71</v>
      </c>
      <c r="AF710" s="1">
        <v>10</v>
      </c>
      <c r="AG710" s="1">
        <v>8</v>
      </c>
    </row>
    <row r="711" spans="28:33" x14ac:dyDescent="0.3">
      <c r="AB711" s="3">
        <v>0.78402777777777599</v>
      </c>
      <c r="AC711" s="3" t="str">
        <f t="shared" si="36"/>
        <v>18:49</v>
      </c>
      <c r="AD711" s="3">
        <f t="shared" si="37"/>
        <v>0.78402777777777777</v>
      </c>
      <c r="AE711" s="1">
        <v>71</v>
      </c>
      <c r="AF711" s="1">
        <v>10</v>
      </c>
      <c r="AG711" s="1">
        <v>9</v>
      </c>
    </row>
    <row r="712" spans="28:33" x14ac:dyDescent="0.3">
      <c r="AB712" s="3">
        <v>0.78472222222222099</v>
      </c>
      <c r="AC712" s="3" t="str">
        <f t="shared" si="36"/>
        <v>18:50</v>
      </c>
      <c r="AD712" s="3">
        <f t="shared" si="37"/>
        <v>0.78472222222222221</v>
      </c>
      <c r="AE712" s="1">
        <v>72</v>
      </c>
      <c r="AF712" s="1">
        <v>10</v>
      </c>
      <c r="AG712" s="1">
        <v>0</v>
      </c>
    </row>
    <row r="713" spans="28:33" x14ac:dyDescent="0.3">
      <c r="AB713" s="3">
        <v>0.78541666666666499</v>
      </c>
      <c r="AC713" s="3" t="str">
        <f t="shared" si="36"/>
        <v>18:51</v>
      </c>
      <c r="AD713" s="3">
        <f t="shared" si="37"/>
        <v>0.78541666666666676</v>
      </c>
      <c r="AE713" s="1">
        <v>72</v>
      </c>
      <c r="AF713" s="1">
        <v>10</v>
      </c>
      <c r="AG713" s="1">
        <v>1</v>
      </c>
    </row>
    <row r="714" spans="28:33" x14ac:dyDescent="0.3">
      <c r="AB714" s="3">
        <v>0.78611111111110998</v>
      </c>
      <c r="AC714" s="3" t="str">
        <f t="shared" si="36"/>
        <v>18:52</v>
      </c>
      <c r="AD714" s="3">
        <f t="shared" si="37"/>
        <v>0.78611111111111109</v>
      </c>
      <c r="AE714" s="1">
        <v>72</v>
      </c>
      <c r="AF714" s="1">
        <v>10</v>
      </c>
      <c r="AG714" s="1">
        <v>2</v>
      </c>
    </row>
    <row r="715" spans="28:33" x14ac:dyDescent="0.3">
      <c r="AB715" s="3">
        <v>0.78680555555555398</v>
      </c>
      <c r="AC715" s="3" t="str">
        <f t="shared" si="36"/>
        <v>18:53</v>
      </c>
      <c r="AD715" s="3">
        <f t="shared" si="37"/>
        <v>0.78680555555555554</v>
      </c>
      <c r="AE715" s="1">
        <v>72</v>
      </c>
      <c r="AF715" s="1">
        <v>10</v>
      </c>
      <c r="AG715" s="1">
        <v>3</v>
      </c>
    </row>
    <row r="716" spans="28:33" x14ac:dyDescent="0.3">
      <c r="AB716" s="3">
        <v>0.78749999999999898</v>
      </c>
      <c r="AC716" s="3" t="str">
        <f t="shared" si="36"/>
        <v>18:54</v>
      </c>
      <c r="AD716" s="3">
        <f t="shared" si="37"/>
        <v>0.78749999999999998</v>
      </c>
      <c r="AE716" s="1">
        <v>72</v>
      </c>
      <c r="AF716" s="1">
        <v>10</v>
      </c>
      <c r="AG716" s="1">
        <v>4</v>
      </c>
    </row>
    <row r="717" spans="28:33" x14ac:dyDescent="0.3">
      <c r="AB717" s="3">
        <v>0.78819444444444298</v>
      </c>
      <c r="AC717" s="3" t="str">
        <f t="shared" si="36"/>
        <v>18:55</v>
      </c>
      <c r="AD717" s="3">
        <f t="shared" si="37"/>
        <v>0.78819444444444453</v>
      </c>
      <c r="AE717" s="1">
        <v>72</v>
      </c>
      <c r="AF717" s="1">
        <v>10</v>
      </c>
      <c r="AG717" s="1">
        <v>5</v>
      </c>
    </row>
    <row r="718" spans="28:33" x14ac:dyDescent="0.3">
      <c r="AB718" s="3">
        <v>0.78888888888888697</v>
      </c>
      <c r="AC718" s="3" t="str">
        <f t="shared" si="36"/>
        <v>18:56</v>
      </c>
      <c r="AD718" s="3">
        <f t="shared" si="37"/>
        <v>0.78888888888888886</v>
      </c>
      <c r="AE718" s="1">
        <v>72</v>
      </c>
      <c r="AF718" s="1">
        <v>10</v>
      </c>
      <c r="AG718" s="1">
        <v>6</v>
      </c>
    </row>
    <row r="719" spans="28:33" x14ac:dyDescent="0.3">
      <c r="AB719" s="3">
        <v>0.78958333333333197</v>
      </c>
      <c r="AC719" s="3" t="str">
        <f t="shared" si="36"/>
        <v>18:57</v>
      </c>
      <c r="AD719" s="3">
        <f t="shared" si="37"/>
        <v>0.7895833333333333</v>
      </c>
      <c r="AE719" s="1">
        <v>72</v>
      </c>
      <c r="AF719" s="1">
        <v>10</v>
      </c>
      <c r="AG719" s="1">
        <v>7</v>
      </c>
    </row>
    <row r="720" spans="28:33" x14ac:dyDescent="0.3">
      <c r="AB720" s="3">
        <v>0.79027777777777597</v>
      </c>
      <c r="AC720" s="3" t="str">
        <f t="shared" si="36"/>
        <v>18:58</v>
      </c>
      <c r="AD720" s="3">
        <f t="shared" si="37"/>
        <v>0.79027777777777775</v>
      </c>
      <c r="AE720" s="1">
        <v>72</v>
      </c>
      <c r="AF720" s="1">
        <v>10</v>
      </c>
      <c r="AG720" s="1">
        <v>8</v>
      </c>
    </row>
    <row r="721" spans="28:33" x14ac:dyDescent="0.3">
      <c r="AB721" s="3">
        <v>0.79097222222222097</v>
      </c>
      <c r="AC721" s="3" t="str">
        <f t="shared" si="36"/>
        <v>18:59</v>
      </c>
      <c r="AD721" s="3">
        <f t="shared" si="37"/>
        <v>0.7909722222222223</v>
      </c>
      <c r="AE721" s="1">
        <v>72</v>
      </c>
      <c r="AF721" s="1">
        <v>10</v>
      </c>
      <c r="AG721" s="1">
        <v>9</v>
      </c>
    </row>
    <row r="722" spans="28:33" x14ac:dyDescent="0.3">
      <c r="AB722" s="3">
        <v>0.79166666666666496</v>
      </c>
      <c r="AC722" s="3" t="str">
        <f t="shared" si="36"/>
        <v>19:00</v>
      </c>
      <c r="AD722" s="3">
        <f t="shared" si="37"/>
        <v>0.79166666666666663</v>
      </c>
      <c r="AE722" s="1">
        <v>73</v>
      </c>
      <c r="AF722" s="1">
        <v>10</v>
      </c>
      <c r="AG722" s="1">
        <v>0</v>
      </c>
    </row>
    <row r="723" spans="28:33" x14ac:dyDescent="0.3">
      <c r="AB723" s="3">
        <v>0.79236111111110996</v>
      </c>
      <c r="AC723" s="3" t="str">
        <f t="shared" si="36"/>
        <v>19:01</v>
      </c>
      <c r="AD723" s="3">
        <f t="shared" si="37"/>
        <v>0.79236111111111107</v>
      </c>
      <c r="AE723" s="1">
        <v>73</v>
      </c>
      <c r="AF723" s="1">
        <v>10</v>
      </c>
      <c r="AG723" s="1">
        <v>1</v>
      </c>
    </row>
    <row r="724" spans="28:33" x14ac:dyDescent="0.3">
      <c r="AB724" s="3">
        <v>0.79305555555555396</v>
      </c>
      <c r="AC724" s="3" t="str">
        <f t="shared" si="36"/>
        <v>19:02</v>
      </c>
      <c r="AD724" s="3">
        <f t="shared" si="37"/>
        <v>0.79305555555555562</v>
      </c>
      <c r="AE724" s="1">
        <v>73</v>
      </c>
      <c r="AF724" s="1">
        <v>10</v>
      </c>
      <c r="AG724" s="1">
        <v>2</v>
      </c>
    </row>
    <row r="725" spans="28:33" x14ac:dyDescent="0.3">
      <c r="AB725" s="3">
        <v>0.79374999999999896</v>
      </c>
      <c r="AC725" s="3" t="str">
        <f t="shared" si="36"/>
        <v>19:03</v>
      </c>
      <c r="AD725" s="3">
        <f t="shared" si="37"/>
        <v>0.79375000000000007</v>
      </c>
      <c r="AE725" s="1">
        <v>73</v>
      </c>
      <c r="AF725" s="1">
        <v>10</v>
      </c>
      <c r="AG725" s="1">
        <v>3</v>
      </c>
    </row>
    <row r="726" spans="28:33" x14ac:dyDescent="0.3">
      <c r="AB726" s="3">
        <v>0.79444444444444295</v>
      </c>
      <c r="AC726" s="3" t="str">
        <f t="shared" si="36"/>
        <v>19:04</v>
      </c>
      <c r="AD726" s="3">
        <f t="shared" si="37"/>
        <v>0.7944444444444444</v>
      </c>
      <c r="AE726" s="1">
        <v>73</v>
      </c>
      <c r="AF726" s="1">
        <v>10</v>
      </c>
      <c r="AG726" s="1">
        <v>4</v>
      </c>
    </row>
    <row r="727" spans="28:33" x14ac:dyDescent="0.3">
      <c r="AB727" s="3">
        <v>0.79513888888888695</v>
      </c>
      <c r="AC727" s="3" t="str">
        <f t="shared" si="36"/>
        <v>19:05</v>
      </c>
      <c r="AD727" s="3">
        <f t="shared" si="37"/>
        <v>0.79513888888888884</v>
      </c>
      <c r="AE727" s="1">
        <v>73</v>
      </c>
      <c r="AF727" s="1">
        <v>10</v>
      </c>
      <c r="AG727" s="1">
        <v>5</v>
      </c>
    </row>
    <row r="728" spans="28:33" x14ac:dyDescent="0.3">
      <c r="AB728" s="3">
        <v>0.79583333333333195</v>
      </c>
      <c r="AC728" s="3" t="str">
        <f t="shared" si="36"/>
        <v>19:06</v>
      </c>
      <c r="AD728" s="3">
        <f t="shared" si="37"/>
        <v>0.79583333333333339</v>
      </c>
      <c r="AE728" s="1">
        <v>73</v>
      </c>
      <c r="AF728" s="1">
        <v>10</v>
      </c>
      <c r="AG728" s="1">
        <v>6</v>
      </c>
    </row>
    <row r="729" spans="28:33" x14ac:dyDescent="0.3">
      <c r="AB729" s="3">
        <v>0.79652777777777595</v>
      </c>
      <c r="AC729" s="3" t="str">
        <f t="shared" si="36"/>
        <v>19:07</v>
      </c>
      <c r="AD729" s="3">
        <f t="shared" si="37"/>
        <v>0.79652777777777783</v>
      </c>
      <c r="AE729" s="1">
        <v>73</v>
      </c>
      <c r="AF729" s="1">
        <v>10</v>
      </c>
      <c r="AG729" s="1">
        <v>7</v>
      </c>
    </row>
    <row r="730" spans="28:33" x14ac:dyDescent="0.3">
      <c r="AB730" s="3">
        <v>0.79722222222222106</v>
      </c>
      <c r="AC730" s="3" t="str">
        <f t="shared" si="36"/>
        <v>19:08</v>
      </c>
      <c r="AD730" s="3">
        <f t="shared" si="37"/>
        <v>0.79722222222222217</v>
      </c>
      <c r="AE730" s="1">
        <v>73</v>
      </c>
      <c r="AF730" s="1">
        <v>10</v>
      </c>
      <c r="AG730" s="1">
        <v>8</v>
      </c>
    </row>
    <row r="731" spans="28:33" x14ac:dyDescent="0.3">
      <c r="AB731" s="3">
        <v>0.79791666666666505</v>
      </c>
      <c r="AC731" s="3" t="str">
        <f t="shared" si="36"/>
        <v>19:09</v>
      </c>
      <c r="AD731" s="3">
        <f t="shared" si="37"/>
        <v>0.79791666666666661</v>
      </c>
      <c r="AE731" s="1">
        <v>73</v>
      </c>
      <c r="AF731" s="1">
        <v>10</v>
      </c>
      <c r="AG731" s="1">
        <v>9</v>
      </c>
    </row>
    <row r="732" spans="28:33" x14ac:dyDescent="0.3">
      <c r="AB732" s="3">
        <v>0.79861111111111005</v>
      </c>
      <c r="AC732" s="3" t="str">
        <f t="shared" si="36"/>
        <v>19:10</v>
      </c>
      <c r="AD732" s="3">
        <f t="shared" si="37"/>
        <v>0.79861111111111116</v>
      </c>
      <c r="AE732" s="1">
        <v>74</v>
      </c>
      <c r="AF732" s="1">
        <v>10</v>
      </c>
      <c r="AG732" s="1">
        <v>0</v>
      </c>
    </row>
    <row r="733" spans="28:33" x14ac:dyDescent="0.3">
      <c r="AB733" s="3">
        <v>0.79930555555555405</v>
      </c>
      <c r="AC733" s="3" t="str">
        <f t="shared" si="36"/>
        <v>19:11</v>
      </c>
      <c r="AD733" s="3">
        <f t="shared" si="37"/>
        <v>0.7993055555555556</v>
      </c>
      <c r="AE733" s="1">
        <v>74</v>
      </c>
      <c r="AF733" s="1">
        <v>10</v>
      </c>
      <c r="AG733" s="1">
        <v>1</v>
      </c>
    </row>
    <row r="734" spans="28:33" x14ac:dyDescent="0.3">
      <c r="AB734" s="3">
        <v>0.79999999999999905</v>
      </c>
      <c r="AC734" s="3" t="str">
        <f t="shared" si="36"/>
        <v>19:12</v>
      </c>
      <c r="AD734" s="3">
        <f t="shared" si="37"/>
        <v>0.79999999999999993</v>
      </c>
      <c r="AE734" s="1">
        <v>74</v>
      </c>
      <c r="AF734" s="1">
        <v>10</v>
      </c>
      <c r="AG734" s="1">
        <v>2</v>
      </c>
    </row>
    <row r="735" spans="28:33" x14ac:dyDescent="0.3">
      <c r="AB735" s="3">
        <v>0.80069444444444304</v>
      </c>
      <c r="AC735" s="3" t="str">
        <f t="shared" si="36"/>
        <v>19:13</v>
      </c>
      <c r="AD735" s="3">
        <f t="shared" si="37"/>
        <v>0.80069444444444438</v>
      </c>
      <c r="AE735" s="1">
        <v>74</v>
      </c>
      <c r="AF735" s="1">
        <v>10</v>
      </c>
      <c r="AG735" s="1">
        <v>3</v>
      </c>
    </row>
    <row r="736" spans="28:33" x14ac:dyDescent="0.3">
      <c r="AB736" s="3">
        <v>0.80138888888888704</v>
      </c>
      <c r="AC736" s="3" t="str">
        <f t="shared" si="36"/>
        <v>19:14</v>
      </c>
      <c r="AD736" s="3">
        <f t="shared" si="37"/>
        <v>0.80138888888888893</v>
      </c>
      <c r="AE736" s="1">
        <v>74</v>
      </c>
      <c r="AF736" s="1">
        <v>10</v>
      </c>
      <c r="AG736" s="1">
        <v>4</v>
      </c>
    </row>
    <row r="737" spans="28:33" x14ac:dyDescent="0.3">
      <c r="AB737" s="3">
        <v>0.80208333333333204</v>
      </c>
      <c r="AC737" s="3" t="str">
        <f t="shared" si="36"/>
        <v>19:15</v>
      </c>
      <c r="AD737" s="3">
        <f t="shared" si="37"/>
        <v>0.80208333333333337</v>
      </c>
      <c r="AE737" s="1">
        <v>74</v>
      </c>
      <c r="AF737" s="1">
        <v>10</v>
      </c>
      <c r="AG737" s="1">
        <v>5</v>
      </c>
    </row>
    <row r="738" spans="28:33" x14ac:dyDescent="0.3">
      <c r="AB738" s="3">
        <v>0.80277777777777604</v>
      </c>
      <c r="AC738" s="3" t="str">
        <f t="shared" si="36"/>
        <v>19:16</v>
      </c>
      <c r="AD738" s="3">
        <f t="shared" si="37"/>
        <v>0.8027777777777777</v>
      </c>
      <c r="AE738" s="1">
        <v>74</v>
      </c>
      <c r="AF738" s="1">
        <v>10</v>
      </c>
      <c r="AG738" s="1">
        <v>6</v>
      </c>
    </row>
    <row r="739" spans="28:33" x14ac:dyDescent="0.3">
      <c r="AB739" s="3">
        <v>0.80347222222222103</v>
      </c>
      <c r="AC739" s="3" t="str">
        <f t="shared" si="36"/>
        <v>19:17</v>
      </c>
      <c r="AD739" s="3">
        <f t="shared" si="37"/>
        <v>0.80347222222222225</v>
      </c>
      <c r="AE739" s="1">
        <v>74</v>
      </c>
      <c r="AF739" s="1">
        <v>10</v>
      </c>
      <c r="AG739" s="1">
        <v>7</v>
      </c>
    </row>
    <row r="740" spans="28:33" x14ac:dyDescent="0.3">
      <c r="AB740" s="3">
        <v>0.80416666666666503</v>
      </c>
      <c r="AC740" s="3" t="str">
        <f t="shared" si="36"/>
        <v>19:18</v>
      </c>
      <c r="AD740" s="3">
        <f t="shared" si="37"/>
        <v>0.8041666666666667</v>
      </c>
      <c r="AE740" s="1">
        <v>74</v>
      </c>
      <c r="AF740" s="1">
        <v>10</v>
      </c>
      <c r="AG740" s="1">
        <v>8</v>
      </c>
    </row>
    <row r="741" spans="28:33" x14ac:dyDescent="0.3">
      <c r="AB741" s="3">
        <v>0.80486111111111003</v>
      </c>
      <c r="AC741" s="3" t="str">
        <f t="shared" si="36"/>
        <v>19:19</v>
      </c>
      <c r="AD741" s="3">
        <f t="shared" si="37"/>
        <v>0.80486111111111114</v>
      </c>
      <c r="AE741" s="1">
        <v>74</v>
      </c>
      <c r="AF741" s="1">
        <v>10</v>
      </c>
      <c r="AG741" s="1">
        <v>9</v>
      </c>
    </row>
    <row r="742" spans="28:33" x14ac:dyDescent="0.3">
      <c r="AB742" s="3">
        <v>0.80555555555555403</v>
      </c>
      <c r="AC742" s="3" t="str">
        <f t="shared" si="36"/>
        <v>19:20</v>
      </c>
      <c r="AD742" s="3">
        <f t="shared" si="37"/>
        <v>0.80555555555555547</v>
      </c>
      <c r="AE742" s="1">
        <v>75</v>
      </c>
      <c r="AF742" s="1">
        <v>10</v>
      </c>
      <c r="AG742" s="1">
        <v>0</v>
      </c>
    </row>
    <row r="743" spans="28:33" x14ac:dyDescent="0.3">
      <c r="AB743" s="3">
        <v>0.80624999999999902</v>
      </c>
      <c r="AC743" s="3" t="str">
        <f t="shared" si="36"/>
        <v>19:21</v>
      </c>
      <c r="AD743" s="3">
        <f t="shared" si="37"/>
        <v>0.80625000000000002</v>
      </c>
      <c r="AE743" s="1">
        <v>75</v>
      </c>
      <c r="AF743" s="1">
        <v>10</v>
      </c>
      <c r="AG743" s="1">
        <v>1</v>
      </c>
    </row>
    <row r="744" spans="28:33" x14ac:dyDescent="0.3">
      <c r="AB744" s="3">
        <v>0.80694444444444302</v>
      </c>
      <c r="AC744" s="3" t="str">
        <f t="shared" si="36"/>
        <v>19:22</v>
      </c>
      <c r="AD744" s="3">
        <f t="shared" si="37"/>
        <v>0.80694444444444446</v>
      </c>
      <c r="AE744" s="1">
        <v>75</v>
      </c>
      <c r="AF744" s="1">
        <v>10</v>
      </c>
      <c r="AG744" s="1">
        <v>2</v>
      </c>
    </row>
    <row r="745" spans="28:33" x14ac:dyDescent="0.3">
      <c r="AB745" s="3">
        <v>0.80763888888888702</v>
      </c>
      <c r="AC745" s="3" t="str">
        <f t="shared" si="36"/>
        <v>19:23</v>
      </c>
      <c r="AD745" s="3">
        <f t="shared" si="37"/>
        <v>0.80763888888888891</v>
      </c>
      <c r="AE745" s="1">
        <v>75</v>
      </c>
      <c r="AF745" s="1">
        <v>10</v>
      </c>
      <c r="AG745" s="1">
        <v>3</v>
      </c>
    </row>
    <row r="746" spans="28:33" x14ac:dyDescent="0.3">
      <c r="AB746" s="3">
        <v>0.80833333333333202</v>
      </c>
      <c r="AC746" s="3" t="str">
        <f t="shared" si="36"/>
        <v>19:24</v>
      </c>
      <c r="AD746" s="3">
        <f t="shared" si="37"/>
        <v>0.80833333333333324</v>
      </c>
      <c r="AE746" s="1">
        <v>75</v>
      </c>
      <c r="AF746" s="1">
        <v>10</v>
      </c>
      <c r="AG746" s="1">
        <v>4</v>
      </c>
    </row>
    <row r="747" spans="28:33" x14ac:dyDescent="0.3">
      <c r="AB747" s="3">
        <v>0.80902777777777601</v>
      </c>
      <c r="AC747" s="3" t="str">
        <f t="shared" si="36"/>
        <v>19:25</v>
      </c>
      <c r="AD747" s="3">
        <f t="shared" si="37"/>
        <v>0.80902777777777779</v>
      </c>
      <c r="AE747" s="1">
        <v>75</v>
      </c>
      <c r="AF747" s="1">
        <v>10</v>
      </c>
      <c r="AG747" s="1">
        <v>5</v>
      </c>
    </row>
    <row r="748" spans="28:33" x14ac:dyDescent="0.3">
      <c r="AB748" s="3">
        <v>0.80972222222222101</v>
      </c>
      <c r="AC748" s="3" t="str">
        <f t="shared" si="36"/>
        <v>19:26</v>
      </c>
      <c r="AD748" s="3">
        <f t="shared" si="37"/>
        <v>0.80972222222222223</v>
      </c>
      <c r="AE748" s="1">
        <v>75</v>
      </c>
      <c r="AF748" s="1">
        <v>10</v>
      </c>
      <c r="AG748" s="1">
        <v>6</v>
      </c>
    </row>
    <row r="749" spans="28:33" x14ac:dyDescent="0.3">
      <c r="AB749" s="3">
        <v>0.81041666666666501</v>
      </c>
      <c r="AC749" s="3" t="str">
        <f t="shared" si="36"/>
        <v>19:27</v>
      </c>
      <c r="AD749" s="3">
        <f t="shared" si="37"/>
        <v>0.81041666666666667</v>
      </c>
      <c r="AE749" s="1">
        <v>75</v>
      </c>
      <c r="AF749" s="1">
        <v>10</v>
      </c>
      <c r="AG749" s="1">
        <v>7</v>
      </c>
    </row>
    <row r="750" spans="28:33" x14ac:dyDescent="0.3">
      <c r="AB750" s="3">
        <v>0.81111111111111001</v>
      </c>
      <c r="AC750" s="3" t="str">
        <f t="shared" si="36"/>
        <v>19:28</v>
      </c>
      <c r="AD750" s="3">
        <f t="shared" si="37"/>
        <v>0.81111111111111101</v>
      </c>
      <c r="AE750" s="1">
        <v>75</v>
      </c>
      <c r="AF750" s="1">
        <v>10</v>
      </c>
      <c r="AG750" s="1">
        <v>8</v>
      </c>
    </row>
    <row r="751" spans="28:33" x14ac:dyDescent="0.3">
      <c r="AB751" s="3">
        <v>0.811805555555554</v>
      </c>
      <c r="AC751" s="3" t="str">
        <f t="shared" si="36"/>
        <v>19:29</v>
      </c>
      <c r="AD751" s="3">
        <f t="shared" si="37"/>
        <v>0.81180555555555556</v>
      </c>
      <c r="AE751" s="1">
        <v>75</v>
      </c>
      <c r="AF751" s="1">
        <v>10</v>
      </c>
      <c r="AG751" s="1">
        <v>9</v>
      </c>
    </row>
    <row r="752" spans="28:33" x14ac:dyDescent="0.3">
      <c r="AB752" s="3">
        <v>0.812499999999998</v>
      </c>
      <c r="AC752" s="3" t="str">
        <f t="shared" si="36"/>
        <v>19:30</v>
      </c>
      <c r="AD752" s="3">
        <f t="shared" si="37"/>
        <v>0.8125</v>
      </c>
      <c r="AE752" s="1">
        <v>76</v>
      </c>
      <c r="AF752" s="1">
        <v>10</v>
      </c>
      <c r="AG752" s="1">
        <v>0</v>
      </c>
    </row>
    <row r="753" spans="28:33" x14ac:dyDescent="0.3">
      <c r="AB753" s="3">
        <v>0.813194444444443</v>
      </c>
      <c r="AC753" s="3" t="str">
        <f t="shared" si="36"/>
        <v>19:31</v>
      </c>
      <c r="AD753" s="3">
        <f t="shared" si="37"/>
        <v>0.81319444444444444</v>
      </c>
      <c r="AE753" s="1">
        <v>76</v>
      </c>
      <c r="AF753" s="1">
        <v>10</v>
      </c>
      <c r="AG753" s="1">
        <v>1</v>
      </c>
    </row>
    <row r="754" spans="28:33" x14ac:dyDescent="0.3">
      <c r="AB754" s="3">
        <v>0.813888888888887</v>
      </c>
      <c r="AC754" s="3" t="str">
        <f t="shared" si="36"/>
        <v>19:32</v>
      </c>
      <c r="AD754" s="3">
        <f t="shared" si="37"/>
        <v>0.81388888888888899</v>
      </c>
      <c r="AE754" s="1">
        <v>76</v>
      </c>
      <c r="AF754" s="1">
        <v>10</v>
      </c>
      <c r="AG754" s="1">
        <v>2</v>
      </c>
    </row>
    <row r="755" spans="28:33" x14ac:dyDescent="0.3">
      <c r="AB755" s="3">
        <v>0.81458333333333199</v>
      </c>
      <c r="AC755" s="3" t="str">
        <f t="shared" si="36"/>
        <v>19:33</v>
      </c>
      <c r="AD755" s="3">
        <f t="shared" si="37"/>
        <v>0.81458333333333333</v>
      </c>
      <c r="AE755" s="1">
        <v>76</v>
      </c>
      <c r="AF755" s="1">
        <v>10</v>
      </c>
      <c r="AG755" s="1">
        <v>3</v>
      </c>
    </row>
    <row r="756" spans="28:33" x14ac:dyDescent="0.3">
      <c r="AB756" s="3">
        <v>0.81527777777777599</v>
      </c>
      <c r="AC756" s="3" t="str">
        <f t="shared" si="36"/>
        <v>19:34</v>
      </c>
      <c r="AD756" s="3">
        <f t="shared" si="37"/>
        <v>0.81527777777777777</v>
      </c>
      <c r="AE756" s="1">
        <v>76</v>
      </c>
      <c r="AF756" s="1">
        <v>10</v>
      </c>
      <c r="AG756" s="1">
        <v>4</v>
      </c>
    </row>
    <row r="757" spans="28:33" x14ac:dyDescent="0.3">
      <c r="AB757" s="3">
        <v>0.81597222222222099</v>
      </c>
      <c r="AC757" s="3" t="str">
        <f t="shared" si="36"/>
        <v>19:35</v>
      </c>
      <c r="AD757" s="3">
        <f t="shared" si="37"/>
        <v>0.81597222222222221</v>
      </c>
      <c r="AE757" s="1">
        <v>76</v>
      </c>
      <c r="AF757" s="1">
        <v>10</v>
      </c>
      <c r="AG757" s="1">
        <v>5</v>
      </c>
    </row>
    <row r="758" spans="28:33" x14ac:dyDescent="0.3">
      <c r="AB758" s="3">
        <v>0.81666666666666499</v>
      </c>
      <c r="AC758" s="3" t="str">
        <f t="shared" si="36"/>
        <v>19:36</v>
      </c>
      <c r="AD758" s="3">
        <f t="shared" si="37"/>
        <v>0.81666666666666676</v>
      </c>
      <c r="AE758" s="1">
        <v>76</v>
      </c>
      <c r="AF758" s="1">
        <v>10</v>
      </c>
      <c r="AG758" s="1">
        <v>6</v>
      </c>
    </row>
    <row r="759" spans="28:33" x14ac:dyDescent="0.3">
      <c r="AB759" s="3">
        <v>0.81736111111110998</v>
      </c>
      <c r="AC759" s="3" t="str">
        <f t="shared" si="36"/>
        <v>19:37</v>
      </c>
      <c r="AD759" s="3">
        <f t="shared" si="37"/>
        <v>0.81736111111111109</v>
      </c>
      <c r="AE759" s="1">
        <v>76</v>
      </c>
      <c r="AF759" s="1">
        <v>10</v>
      </c>
      <c r="AG759" s="1">
        <v>7</v>
      </c>
    </row>
    <row r="760" spans="28:33" x14ac:dyDescent="0.3">
      <c r="AB760" s="3">
        <v>0.81805555555555398</v>
      </c>
      <c r="AC760" s="3" t="str">
        <f t="shared" si="36"/>
        <v>19:38</v>
      </c>
      <c r="AD760" s="3">
        <f t="shared" si="37"/>
        <v>0.81805555555555554</v>
      </c>
      <c r="AE760" s="1">
        <v>76</v>
      </c>
      <c r="AF760" s="1">
        <v>10</v>
      </c>
      <c r="AG760" s="1">
        <v>8</v>
      </c>
    </row>
    <row r="761" spans="28:33" x14ac:dyDescent="0.3">
      <c r="AB761" s="3">
        <v>0.81874999999999798</v>
      </c>
      <c r="AC761" s="3" t="str">
        <f t="shared" si="36"/>
        <v>19:39</v>
      </c>
      <c r="AD761" s="3">
        <f t="shared" si="37"/>
        <v>0.81874999999999998</v>
      </c>
      <c r="AE761" s="1">
        <v>76</v>
      </c>
      <c r="AF761" s="1">
        <v>10</v>
      </c>
      <c r="AG761" s="1">
        <v>9</v>
      </c>
    </row>
    <row r="762" spans="28:33" x14ac:dyDescent="0.3">
      <c r="AB762" s="3">
        <v>0.81944444444444298</v>
      </c>
      <c r="AC762" s="3" t="str">
        <f t="shared" si="36"/>
        <v>19:40</v>
      </c>
      <c r="AD762" s="3">
        <f t="shared" si="37"/>
        <v>0.81944444444444453</v>
      </c>
      <c r="AE762" s="1">
        <v>77</v>
      </c>
      <c r="AF762" s="1">
        <v>10</v>
      </c>
      <c r="AG762" s="1">
        <v>0</v>
      </c>
    </row>
    <row r="763" spans="28:33" x14ac:dyDescent="0.3">
      <c r="AB763" s="3">
        <v>0.82013888888888697</v>
      </c>
      <c r="AC763" s="3" t="str">
        <f t="shared" si="36"/>
        <v>19:41</v>
      </c>
      <c r="AD763" s="3">
        <f t="shared" si="37"/>
        <v>0.82013888888888886</v>
      </c>
      <c r="AE763" s="1">
        <v>77</v>
      </c>
      <c r="AF763" s="1">
        <v>10</v>
      </c>
      <c r="AG763" s="1">
        <v>1</v>
      </c>
    </row>
    <row r="764" spans="28:33" x14ac:dyDescent="0.3">
      <c r="AB764" s="3">
        <v>0.82083333333333197</v>
      </c>
      <c r="AC764" s="3" t="str">
        <f t="shared" si="36"/>
        <v>19:42</v>
      </c>
      <c r="AD764" s="3">
        <f t="shared" si="37"/>
        <v>0.8208333333333333</v>
      </c>
      <c r="AE764" s="1">
        <v>77</v>
      </c>
      <c r="AF764" s="1">
        <v>10</v>
      </c>
      <c r="AG764" s="1">
        <v>2</v>
      </c>
    </row>
    <row r="765" spans="28:33" x14ac:dyDescent="0.3">
      <c r="AB765" s="3">
        <v>0.82152777777777597</v>
      </c>
      <c r="AC765" s="3" t="str">
        <f t="shared" si="36"/>
        <v>19:43</v>
      </c>
      <c r="AD765" s="3">
        <f t="shared" si="37"/>
        <v>0.82152777777777775</v>
      </c>
      <c r="AE765" s="1">
        <v>77</v>
      </c>
      <c r="AF765" s="1">
        <v>10</v>
      </c>
      <c r="AG765" s="1">
        <v>3</v>
      </c>
    </row>
    <row r="766" spans="28:33" x14ac:dyDescent="0.3">
      <c r="AB766" s="3">
        <v>0.82222222222222097</v>
      </c>
      <c r="AC766" s="3" t="str">
        <f t="shared" si="36"/>
        <v>19:44</v>
      </c>
      <c r="AD766" s="3">
        <f t="shared" si="37"/>
        <v>0.8222222222222223</v>
      </c>
      <c r="AE766" s="1">
        <v>77</v>
      </c>
      <c r="AF766" s="1">
        <v>10</v>
      </c>
      <c r="AG766" s="1">
        <v>4</v>
      </c>
    </row>
    <row r="767" spans="28:33" x14ac:dyDescent="0.3">
      <c r="AB767" s="3">
        <v>0.82291666666666496</v>
      </c>
      <c r="AC767" s="3" t="str">
        <f t="shared" si="36"/>
        <v>19:45</v>
      </c>
      <c r="AD767" s="3">
        <f t="shared" si="37"/>
        <v>0.82291666666666663</v>
      </c>
      <c r="AE767" s="1">
        <v>77</v>
      </c>
      <c r="AF767" s="1">
        <v>10</v>
      </c>
      <c r="AG767" s="1">
        <v>5</v>
      </c>
    </row>
    <row r="768" spans="28:33" x14ac:dyDescent="0.3">
      <c r="AB768" s="3">
        <v>0.82361111111110996</v>
      </c>
      <c r="AC768" s="3" t="str">
        <f t="shared" si="36"/>
        <v>19:46</v>
      </c>
      <c r="AD768" s="3">
        <f t="shared" si="37"/>
        <v>0.82361111111111107</v>
      </c>
      <c r="AE768" s="1">
        <v>77</v>
      </c>
      <c r="AF768" s="1">
        <v>10</v>
      </c>
      <c r="AG768" s="1">
        <v>6</v>
      </c>
    </row>
    <row r="769" spans="28:33" x14ac:dyDescent="0.3">
      <c r="AB769" s="3">
        <v>0.82430555555555396</v>
      </c>
      <c r="AC769" s="3" t="str">
        <f t="shared" si="36"/>
        <v>19:47</v>
      </c>
      <c r="AD769" s="3">
        <f t="shared" si="37"/>
        <v>0.82430555555555562</v>
      </c>
      <c r="AE769" s="1">
        <v>77</v>
      </c>
      <c r="AF769" s="1">
        <v>10</v>
      </c>
      <c r="AG769" s="1">
        <v>7</v>
      </c>
    </row>
    <row r="770" spans="28:33" x14ac:dyDescent="0.3">
      <c r="AB770" s="3">
        <v>0.82499999999999796</v>
      </c>
      <c r="AC770" s="3" t="str">
        <f t="shared" si="36"/>
        <v>19:48</v>
      </c>
      <c r="AD770" s="3">
        <f t="shared" si="37"/>
        <v>0.82500000000000007</v>
      </c>
      <c r="AE770" s="1">
        <v>77</v>
      </c>
      <c r="AF770" s="1">
        <v>10</v>
      </c>
      <c r="AG770" s="1">
        <v>8</v>
      </c>
    </row>
    <row r="771" spans="28:33" x14ac:dyDescent="0.3">
      <c r="AB771" s="3">
        <v>0.82569444444444295</v>
      </c>
      <c r="AC771" s="3" t="str">
        <f t="shared" ref="AC771:AC834" si="38">TEXT(AB771,"hh:mm")</f>
        <v>19:49</v>
      </c>
      <c r="AD771" s="3">
        <f t="shared" ref="AD771:AD834" si="39">VALUE(AC771)</f>
        <v>0.8256944444444444</v>
      </c>
      <c r="AE771" s="1">
        <v>77</v>
      </c>
      <c r="AF771" s="1">
        <v>10</v>
      </c>
      <c r="AG771" s="1">
        <v>9</v>
      </c>
    </row>
    <row r="772" spans="28:33" x14ac:dyDescent="0.3">
      <c r="AB772" s="3">
        <v>0.82638888888888695</v>
      </c>
      <c r="AC772" s="3" t="str">
        <f t="shared" si="38"/>
        <v>19:50</v>
      </c>
      <c r="AD772" s="3">
        <f t="shared" si="39"/>
        <v>0.82638888888888884</v>
      </c>
      <c r="AE772" s="1">
        <v>78</v>
      </c>
      <c r="AF772" s="1">
        <v>10</v>
      </c>
      <c r="AG772" s="1">
        <v>0</v>
      </c>
    </row>
    <row r="773" spans="28:33" x14ac:dyDescent="0.3">
      <c r="AB773" s="3">
        <v>0.82708333333333195</v>
      </c>
      <c r="AC773" s="3" t="str">
        <f t="shared" si="38"/>
        <v>19:51</v>
      </c>
      <c r="AD773" s="3">
        <f t="shared" si="39"/>
        <v>0.82708333333333339</v>
      </c>
      <c r="AE773" s="1">
        <v>78</v>
      </c>
      <c r="AF773" s="1">
        <v>10</v>
      </c>
      <c r="AG773" s="1">
        <v>1</v>
      </c>
    </row>
    <row r="774" spans="28:33" x14ac:dyDescent="0.3">
      <c r="AB774" s="3">
        <v>0.82777777777777595</v>
      </c>
      <c r="AC774" s="3" t="str">
        <f t="shared" si="38"/>
        <v>19:52</v>
      </c>
      <c r="AD774" s="3">
        <f t="shared" si="39"/>
        <v>0.82777777777777783</v>
      </c>
      <c r="AE774" s="1">
        <v>78</v>
      </c>
      <c r="AF774" s="1">
        <v>10</v>
      </c>
      <c r="AG774" s="1">
        <v>2</v>
      </c>
    </row>
    <row r="775" spans="28:33" x14ac:dyDescent="0.3">
      <c r="AB775" s="3">
        <v>0.82847222222222106</v>
      </c>
      <c r="AC775" s="3" t="str">
        <f t="shared" si="38"/>
        <v>19:53</v>
      </c>
      <c r="AD775" s="3">
        <f t="shared" si="39"/>
        <v>0.82847222222222217</v>
      </c>
      <c r="AE775" s="1">
        <v>78</v>
      </c>
      <c r="AF775" s="1">
        <v>10</v>
      </c>
      <c r="AG775" s="1">
        <v>3</v>
      </c>
    </row>
    <row r="776" spans="28:33" x14ac:dyDescent="0.3">
      <c r="AB776" s="3">
        <v>0.82916666666666505</v>
      </c>
      <c r="AC776" s="3" t="str">
        <f t="shared" si="38"/>
        <v>19:54</v>
      </c>
      <c r="AD776" s="3">
        <f t="shared" si="39"/>
        <v>0.82916666666666661</v>
      </c>
      <c r="AE776" s="1">
        <v>78</v>
      </c>
      <c r="AF776" s="1">
        <v>10</v>
      </c>
      <c r="AG776" s="1">
        <v>4</v>
      </c>
    </row>
    <row r="777" spans="28:33" x14ac:dyDescent="0.3">
      <c r="AB777" s="3">
        <v>0.82986111111111005</v>
      </c>
      <c r="AC777" s="3" t="str">
        <f t="shared" si="38"/>
        <v>19:55</v>
      </c>
      <c r="AD777" s="3">
        <f t="shared" si="39"/>
        <v>0.82986111111111116</v>
      </c>
      <c r="AE777" s="1">
        <v>78</v>
      </c>
      <c r="AF777" s="1">
        <v>10</v>
      </c>
      <c r="AG777" s="1">
        <v>5</v>
      </c>
    </row>
    <row r="778" spans="28:33" x14ac:dyDescent="0.3">
      <c r="AB778" s="3">
        <v>0.83055555555555405</v>
      </c>
      <c r="AC778" s="3" t="str">
        <f t="shared" si="38"/>
        <v>19:56</v>
      </c>
      <c r="AD778" s="3">
        <f t="shared" si="39"/>
        <v>0.8305555555555556</v>
      </c>
      <c r="AE778" s="1">
        <v>78</v>
      </c>
      <c r="AF778" s="1">
        <v>10</v>
      </c>
      <c r="AG778" s="1">
        <v>6</v>
      </c>
    </row>
    <row r="779" spans="28:33" x14ac:dyDescent="0.3">
      <c r="AB779" s="3">
        <v>0.83124999999999805</v>
      </c>
      <c r="AC779" s="3" t="str">
        <f t="shared" si="38"/>
        <v>19:57</v>
      </c>
      <c r="AD779" s="3">
        <f t="shared" si="39"/>
        <v>0.83124999999999993</v>
      </c>
      <c r="AE779" s="1">
        <v>78</v>
      </c>
      <c r="AF779" s="1">
        <v>10</v>
      </c>
      <c r="AG779" s="1">
        <v>7</v>
      </c>
    </row>
    <row r="780" spans="28:33" x14ac:dyDescent="0.3">
      <c r="AB780" s="3">
        <v>0.83194444444444304</v>
      </c>
      <c r="AC780" s="3" t="str">
        <f t="shared" si="38"/>
        <v>19:58</v>
      </c>
      <c r="AD780" s="3">
        <f t="shared" si="39"/>
        <v>0.83194444444444438</v>
      </c>
      <c r="AE780" s="1">
        <v>78</v>
      </c>
      <c r="AF780" s="1">
        <v>10</v>
      </c>
      <c r="AG780" s="1">
        <v>8</v>
      </c>
    </row>
    <row r="781" spans="28:33" x14ac:dyDescent="0.3">
      <c r="AB781" s="3">
        <v>0.83263888888888704</v>
      </c>
      <c r="AC781" s="3" t="str">
        <f t="shared" si="38"/>
        <v>19:59</v>
      </c>
      <c r="AD781" s="3">
        <f t="shared" si="39"/>
        <v>0.83263888888888893</v>
      </c>
      <c r="AE781" s="1">
        <v>78</v>
      </c>
      <c r="AF781" s="1">
        <v>10</v>
      </c>
      <c r="AG781" s="1">
        <v>9</v>
      </c>
    </row>
    <row r="782" spans="28:33" x14ac:dyDescent="0.3">
      <c r="AB782" s="3">
        <v>0.83333333333333204</v>
      </c>
      <c r="AC782" s="3" t="str">
        <f t="shared" si="38"/>
        <v>20:00</v>
      </c>
      <c r="AD782" s="3">
        <f t="shared" si="39"/>
        <v>0.83333333333333337</v>
      </c>
      <c r="AE782" s="1">
        <v>79</v>
      </c>
      <c r="AF782" s="1">
        <v>10</v>
      </c>
      <c r="AG782" s="1">
        <v>0</v>
      </c>
    </row>
    <row r="783" spans="28:33" x14ac:dyDescent="0.3">
      <c r="AB783" s="3">
        <v>0.83402777777777604</v>
      </c>
      <c r="AC783" s="3" t="str">
        <f t="shared" si="38"/>
        <v>20:01</v>
      </c>
      <c r="AD783" s="3">
        <f t="shared" si="39"/>
        <v>0.8340277777777777</v>
      </c>
      <c r="AE783" s="1">
        <v>79</v>
      </c>
      <c r="AF783" s="1">
        <v>10</v>
      </c>
      <c r="AG783" s="1">
        <v>1</v>
      </c>
    </row>
    <row r="784" spans="28:33" x14ac:dyDescent="0.3">
      <c r="AB784" s="3">
        <v>0.83472222222222103</v>
      </c>
      <c r="AC784" s="3" t="str">
        <f t="shared" si="38"/>
        <v>20:02</v>
      </c>
      <c r="AD784" s="3">
        <f t="shared" si="39"/>
        <v>0.83472222222222225</v>
      </c>
      <c r="AE784" s="1">
        <v>79</v>
      </c>
      <c r="AF784" s="1">
        <v>10</v>
      </c>
      <c r="AG784" s="1">
        <v>2</v>
      </c>
    </row>
    <row r="785" spans="28:33" x14ac:dyDescent="0.3">
      <c r="AB785" s="3">
        <v>0.83541666666666503</v>
      </c>
      <c r="AC785" s="3" t="str">
        <f t="shared" si="38"/>
        <v>20:03</v>
      </c>
      <c r="AD785" s="3">
        <f t="shared" si="39"/>
        <v>0.8354166666666667</v>
      </c>
      <c r="AE785" s="1">
        <v>79</v>
      </c>
      <c r="AF785" s="1">
        <v>10</v>
      </c>
      <c r="AG785" s="1">
        <v>3</v>
      </c>
    </row>
    <row r="786" spans="28:33" x14ac:dyDescent="0.3">
      <c r="AB786" s="3">
        <v>0.83611111111111003</v>
      </c>
      <c r="AC786" s="3" t="str">
        <f t="shared" si="38"/>
        <v>20:04</v>
      </c>
      <c r="AD786" s="3">
        <f t="shared" si="39"/>
        <v>0.83611111111111114</v>
      </c>
      <c r="AE786" s="1">
        <v>79</v>
      </c>
      <c r="AF786" s="1">
        <v>10</v>
      </c>
      <c r="AG786" s="1">
        <v>4</v>
      </c>
    </row>
    <row r="787" spans="28:33" x14ac:dyDescent="0.3">
      <c r="AB787" s="3">
        <v>0.83680555555555403</v>
      </c>
      <c r="AC787" s="3" t="str">
        <f t="shared" si="38"/>
        <v>20:05</v>
      </c>
      <c r="AD787" s="3">
        <f t="shared" si="39"/>
        <v>0.83680555555555547</v>
      </c>
      <c r="AE787" s="1">
        <v>79</v>
      </c>
      <c r="AF787" s="1">
        <v>10</v>
      </c>
      <c r="AG787" s="1">
        <v>5</v>
      </c>
    </row>
    <row r="788" spans="28:33" x14ac:dyDescent="0.3">
      <c r="AB788" s="3">
        <v>0.83749999999999802</v>
      </c>
      <c r="AC788" s="3" t="str">
        <f t="shared" si="38"/>
        <v>20:06</v>
      </c>
      <c r="AD788" s="3">
        <f t="shared" si="39"/>
        <v>0.83750000000000002</v>
      </c>
      <c r="AE788" s="1">
        <v>79</v>
      </c>
      <c r="AF788" s="1">
        <v>10</v>
      </c>
      <c r="AG788" s="1">
        <v>6</v>
      </c>
    </row>
    <row r="789" spans="28:33" x14ac:dyDescent="0.3">
      <c r="AB789" s="3">
        <v>0.83819444444444302</v>
      </c>
      <c r="AC789" s="3" t="str">
        <f t="shared" si="38"/>
        <v>20:07</v>
      </c>
      <c r="AD789" s="3">
        <f t="shared" si="39"/>
        <v>0.83819444444444446</v>
      </c>
      <c r="AE789" s="1">
        <v>79</v>
      </c>
      <c r="AF789" s="1">
        <v>10</v>
      </c>
      <c r="AG789" s="1">
        <v>7</v>
      </c>
    </row>
    <row r="790" spans="28:33" x14ac:dyDescent="0.3">
      <c r="AB790" s="3">
        <v>0.83888888888888702</v>
      </c>
      <c r="AC790" s="3" t="str">
        <f t="shared" si="38"/>
        <v>20:08</v>
      </c>
      <c r="AD790" s="3">
        <f t="shared" si="39"/>
        <v>0.83888888888888891</v>
      </c>
      <c r="AE790" s="1">
        <v>79</v>
      </c>
      <c r="AF790" s="1">
        <v>10</v>
      </c>
      <c r="AG790" s="1">
        <v>8</v>
      </c>
    </row>
    <row r="791" spans="28:33" x14ac:dyDescent="0.3">
      <c r="AB791" s="3">
        <v>0.83958333333333202</v>
      </c>
      <c r="AC791" s="3" t="str">
        <f t="shared" si="38"/>
        <v>20:09</v>
      </c>
      <c r="AD791" s="3">
        <f t="shared" si="39"/>
        <v>0.83958333333333324</v>
      </c>
      <c r="AE791" s="1">
        <v>79</v>
      </c>
      <c r="AF791" s="1">
        <v>10</v>
      </c>
      <c r="AG791" s="1">
        <v>9</v>
      </c>
    </row>
    <row r="792" spans="28:33" x14ac:dyDescent="0.3">
      <c r="AB792" s="3">
        <v>0.84027777777777601</v>
      </c>
      <c r="AC792" s="3" t="str">
        <f t="shared" si="38"/>
        <v>20:10</v>
      </c>
      <c r="AD792" s="3">
        <f t="shared" si="39"/>
        <v>0.84027777777777779</v>
      </c>
      <c r="AE792" s="1">
        <v>80</v>
      </c>
      <c r="AF792" s="1">
        <v>10</v>
      </c>
      <c r="AG792" s="1">
        <v>0</v>
      </c>
    </row>
    <row r="793" spans="28:33" x14ac:dyDescent="0.3">
      <c r="AB793" s="3">
        <v>0.84097222222222101</v>
      </c>
      <c r="AC793" s="3" t="str">
        <f t="shared" si="38"/>
        <v>20:11</v>
      </c>
      <c r="AD793" s="3">
        <f t="shared" si="39"/>
        <v>0.84097222222222223</v>
      </c>
      <c r="AE793" s="1">
        <v>80</v>
      </c>
      <c r="AF793" s="1">
        <v>10</v>
      </c>
      <c r="AG793" s="1">
        <v>1</v>
      </c>
    </row>
    <row r="794" spans="28:33" x14ac:dyDescent="0.3">
      <c r="AB794" s="3">
        <v>0.84166666666666501</v>
      </c>
      <c r="AC794" s="3" t="str">
        <f t="shared" si="38"/>
        <v>20:12</v>
      </c>
      <c r="AD794" s="3">
        <f t="shared" si="39"/>
        <v>0.84166666666666667</v>
      </c>
      <c r="AE794" s="1">
        <v>80</v>
      </c>
      <c r="AF794" s="1">
        <v>10</v>
      </c>
      <c r="AG794" s="1">
        <v>2</v>
      </c>
    </row>
    <row r="795" spans="28:33" x14ac:dyDescent="0.3">
      <c r="AB795" s="3">
        <v>0.84236111111110901</v>
      </c>
      <c r="AC795" s="3" t="str">
        <f t="shared" si="38"/>
        <v>20:13</v>
      </c>
      <c r="AD795" s="3">
        <f t="shared" si="39"/>
        <v>0.84236111111111101</v>
      </c>
      <c r="AE795" s="1">
        <v>80</v>
      </c>
      <c r="AF795" s="1">
        <v>10</v>
      </c>
      <c r="AG795" s="1">
        <v>3</v>
      </c>
    </row>
    <row r="796" spans="28:33" x14ac:dyDescent="0.3">
      <c r="AB796" s="3">
        <v>0.843055555555554</v>
      </c>
      <c r="AC796" s="3" t="str">
        <f t="shared" si="38"/>
        <v>20:14</v>
      </c>
      <c r="AD796" s="3">
        <f t="shared" si="39"/>
        <v>0.84305555555555556</v>
      </c>
      <c r="AE796" s="1">
        <v>80</v>
      </c>
      <c r="AF796" s="1">
        <v>10</v>
      </c>
      <c r="AG796" s="1">
        <v>4</v>
      </c>
    </row>
    <row r="797" spans="28:33" x14ac:dyDescent="0.3">
      <c r="AB797" s="3">
        <v>0.843749999999998</v>
      </c>
      <c r="AC797" s="3" t="str">
        <f t="shared" si="38"/>
        <v>20:15</v>
      </c>
      <c r="AD797" s="3">
        <f t="shared" si="39"/>
        <v>0.84375</v>
      </c>
      <c r="AE797" s="1">
        <v>80</v>
      </c>
      <c r="AF797" s="1">
        <v>10</v>
      </c>
      <c r="AG797" s="1">
        <v>5</v>
      </c>
    </row>
    <row r="798" spans="28:33" x14ac:dyDescent="0.3">
      <c r="AB798" s="3">
        <v>0.844444444444443</v>
      </c>
      <c r="AC798" s="3" t="str">
        <f t="shared" si="38"/>
        <v>20:16</v>
      </c>
      <c r="AD798" s="3">
        <f t="shared" si="39"/>
        <v>0.84444444444444444</v>
      </c>
      <c r="AE798" s="1">
        <v>80</v>
      </c>
      <c r="AF798" s="1">
        <v>10</v>
      </c>
      <c r="AG798" s="1">
        <v>6</v>
      </c>
    </row>
    <row r="799" spans="28:33" x14ac:dyDescent="0.3">
      <c r="AB799" s="3">
        <v>0.845138888888887</v>
      </c>
      <c r="AC799" s="3" t="str">
        <f t="shared" si="38"/>
        <v>20:17</v>
      </c>
      <c r="AD799" s="3">
        <f t="shared" si="39"/>
        <v>0.84513888888888899</v>
      </c>
      <c r="AE799" s="1">
        <v>80</v>
      </c>
      <c r="AF799" s="1">
        <v>10</v>
      </c>
      <c r="AG799" s="1">
        <v>7</v>
      </c>
    </row>
    <row r="800" spans="28:33" x14ac:dyDescent="0.3">
      <c r="AB800" s="3">
        <v>0.84583333333333199</v>
      </c>
      <c r="AC800" s="3" t="str">
        <f t="shared" si="38"/>
        <v>20:18</v>
      </c>
      <c r="AD800" s="3">
        <f t="shared" si="39"/>
        <v>0.84583333333333333</v>
      </c>
      <c r="AE800" s="1">
        <v>80</v>
      </c>
      <c r="AF800" s="1">
        <v>10</v>
      </c>
      <c r="AG800" s="1">
        <v>8</v>
      </c>
    </row>
    <row r="801" spans="28:33" x14ac:dyDescent="0.3">
      <c r="AB801" s="3">
        <v>0.84652777777777599</v>
      </c>
      <c r="AC801" s="3" t="str">
        <f t="shared" si="38"/>
        <v>20:19</v>
      </c>
      <c r="AD801" s="3">
        <f t="shared" si="39"/>
        <v>0.84652777777777777</v>
      </c>
      <c r="AE801" s="1">
        <v>80</v>
      </c>
      <c r="AF801" s="1">
        <v>10</v>
      </c>
      <c r="AG801" s="1">
        <v>9</v>
      </c>
    </row>
    <row r="802" spans="28:33" x14ac:dyDescent="0.3">
      <c r="AB802" s="3">
        <v>0.84722222222222099</v>
      </c>
      <c r="AC802" s="3" t="str">
        <f t="shared" si="38"/>
        <v>20:20</v>
      </c>
      <c r="AD802" s="3">
        <f t="shared" si="39"/>
        <v>0.84722222222222221</v>
      </c>
      <c r="AE802" s="1">
        <v>81</v>
      </c>
      <c r="AF802" s="1">
        <v>10</v>
      </c>
      <c r="AG802" s="1">
        <v>0</v>
      </c>
    </row>
    <row r="803" spans="28:33" x14ac:dyDescent="0.3">
      <c r="AB803" s="3">
        <v>0.84791666666666499</v>
      </c>
      <c r="AC803" s="3" t="str">
        <f t="shared" si="38"/>
        <v>20:21</v>
      </c>
      <c r="AD803" s="3">
        <f t="shared" si="39"/>
        <v>0.84791666666666676</v>
      </c>
      <c r="AE803" s="1">
        <v>81</v>
      </c>
      <c r="AF803" s="1">
        <v>10</v>
      </c>
      <c r="AG803" s="1">
        <v>1</v>
      </c>
    </row>
    <row r="804" spans="28:33" x14ac:dyDescent="0.3">
      <c r="AB804" s="3">
        <v>0.84861111111110898</v>
      </c>
      <c r="AC804" s="3" t="str">
        <f t="shared" si="38"/>
        <v>20:22</v>
      </c>
      <c r="AD804" s="3">
        <f t="shared" si="39"/>
        <v>0.84861111111111109</v>
      </c>
      <c r="AE804" s="1">
        <v>81</v>
      </c>
      <c r="AF804" s="1">
        <v>10</v>
      </c>
      <c r="AG804" s="1">
        <v>2</v>
      </c>
    </row>
    <row r="805" spans="28:33" x14ac:dyDescent="0.3">
      <c r="AB805" s="3">
        <v>0.84930555555555398</v>
      </c>
      <c r="AC805" s="3" t="str">
        <f t="shared" si="38"/>
        <v>20:23</v>
      </c>
      <c r="AD805" s="3">
        <f t="shared" si="39"/>
        <v>0.84930555555555554</v>
      </c>
      <c r="AE805" s="1">
        <v>81</v>
      </c>
      <c r="AF805" s="1">
        <v>10</v>
      </c>
      <c r="AG805" s="1">
        <v>3</v>
      </c>
    </row>
    <row r="806" spans="28:33" x14ac:dyDescent="0.3">
      <c r="AB806" s="3">
        <v>0.84999999999999798</v>
      </c>
      <c r="AC806" s="3" t="str">
        <f t="shared" si="38"/>
        <v>20:24</v>
      </c>
      <c r="AD806" s="3">
        <f t="shared" si="39"/>
        <v>0.85</v>
      </c>
      <c r="AE806" s="1">
        <v>81</v>
      </c>
      <c r="AF806" s="1">
        <v>10</v>
      </c>
      <c r="AG806" s="1">
        <v>4</v>
      </c>
    </row>
    <row r="807" spans="28:33" x14ac:dyDescent="0.3">
      <c r="AB807" s="3">
        <v>0.85069444444444298</v>
      </c>
      <c r="AC807" s="3" t="str">
        <f t="shared" si="38"/>
        <v>20:25</v>
      </c>
      <c r="AD807" s="3">
        <f t="shared" si="39"/>
        <v>0.85069444444444453</v>
      </c>
      <c r="AE807" s="1">
        <v>81</v>
      </c>
      <c r="AF807" s="1">
        <v>10</v>
      </c>
      <c r="AG807" s="1">
        <v>5</v>
      </c>
    </row>
    <row r="808" spans="28:33" x14ac:dyDescent="0.3">
      <c r="AB808" s="3">
        <v>0.85138888888888697</v>
      </c>
      <c r="AC808" s="3" t="str">
        <f t="shared" si="38"/>
        <v>20:26</v>
      </c>
      <c r="AD808" s="3">
        <f t="shared" si="39"/>
        <v>0.85138888888888886</v>
      </c>
      <c r="AE808" s="1">
        <v>81</v>
      </c>
      <c r="AF808" s="1">
        <v>10</v>
      </c>
      <c r="AG808" s="1">
        <v>6</v>
      </c>
    </row>
    <row r="809" spans="28:33" x14ac:dyDescent="0.3">
      <c r="AB809" s="3">
        <v>0.85208333333333197</v>
      </c>
      <c r="AC809" s="3" t="str">
        <f t="shared" si="38"/>
        <v>20:27</v>
      </c>
      <c r="AD809" s="3">
        <f t="shared" si="39"/>
        <v>0.8520833333333333</v>
      </c>
      <c r="AE809" s="1">
        <v>81</v>
      </c>
      <c r="AF809" s="1">
        <v>10</v>
      </c>
      <c r="AG809" s="1">
        <v>7</v>
      </c>
    </row>
    <row r="810" spans="28:33" x14ac:dyDescent="0.3">
      <c r="AB810" s="3">
        <v>0.85277777777777597</v>
      </c>
      <c r="AC810" s="3" t="str">
        <f t="shared" si="38"/>
        <v>20:28</v>
      </c>
      <c r="AD810" s="3">
        <f t="shared" si="39"/>
        <v>0.85277777777777775</v>
      </c>
      <c r="AE810" s="1">
        <v>81</v>
      </c>
      <c r="AF810" s="1">
        <v>10</v>
      </c>
      <c r="AG810" s="1">
        <v>8</v>
      </c>
    </row>
    <row r="811" spans="28:33" x14ac:dyDescent="0.3">
      <c r="AB811" s="3">
        <v>0.85347222222222097</v>
      </c>
      <c r="AC811" s="3" t="str">
        <f t="shared" si="38"/>
        <v>20:29</v>
      </c>
      <c r="AD811" s="3">
        <f t="shared" si="39"/>
        <v>0.8534722222222223</v>
      </c>
      <c r="AE811" s="1">
        <v>81</v>
      </c>
      <c r="AF811" s="1">
        <v>10</v>
      </c>
      <c r="AG811" s="1">
        <v>9</v>
      </c>
    </row>
    <row r="812" spans="28:33" x14ac:dyDescent="0.3">
      <c r="AB812" s="3">
        <v>0.85416666666666496</v>
      </c>
      <c r="AC812" s="3" t="str">
        <f t="shared" si="38"/>
        <v>20:30</v>
      </c>
      <c r="AD812" s="3">
        <f t="shared" si="39"/>
        <v>0.85416666666666663</v>
      </c>
      <c r="AE812" s="1">
        <v>82</v>
      </c>
      <c r="AF812" s="1">
        <v>10</v>
      </c>
      <c r="AG812" s="1">
        <v>0</v>
      </c>
    </row>
    <row r="813" spans="28:33" x14ac:dyDescent="0.3">
      <c r="AB813" s="3">
        <v>0.85486111111110896</v>
      </c>
      <c r="AC813" s="3" t="str">
        <f t="shared" si="38"/>
        <v>20:31</v>
      </c>
      <c r="AD813" s="3">
        <f t="shared" si="39"/>
        <v>0.85486111111111107</v>
      </c>
      <c r="AE813" s="1">
        <v>82</v>
      </c>
      <c r="AF813" s="1">
        <v>10</v>
      </c>
      <c r="AG813" s="1">
        <v>1</v>
      </c>
    </row>
    <row r="814" spans="28:33" x14ac:dyDescent="0.3">
      <c r="AB814" s="3">
        <v>0.85555555555555396</v>
      </c>
      <c r="AC814" s="3" t="str">
        <f t="shared" si="38"/>
        <v>20:32</v>
      </c>
      <c r="AD814" s="3">
        <f t="shared" si="39"/>
        <v>0.85555555555555562</v>
      </c>
      <c r="AE814" s="1">
        <v>82</v>
      </c>
      <c r="AF814" s="1">
        <v>10</v>
      </c>
      <c r="AG814" s="1">
        <v>2</v>
      </c>
    </row>
    <row r="815" spans="28:33" x14ac:dyDescent="0.3">
      <c r="AB815" s="3">
        <v>0.85624999999999796</v>
      </c>
      <c r="AC815" s="3" t="str">
        <f t="shared" si="38"/>
        <v>20:33</v>
      </c>
      <c r="AD815" s="3">
        <f t="shared" si="39"/>
        <v>0.85625000000000007</v>
      </c>
      <c r="AE815" s="1">
        <v>82</v>
      </c>
      <c r="AF815" s="1">
        <v>10</v>
      </c>
      <c r="AG815" s="1">
        <v>3</v>
      </c>
    </row>
    <row r="816" spans="28:33" x14ac:dyDescent="0.3">
      <c r="AB816" s="3">
        <v>0.85694444444444295</v>
      </c>
      <c r="AC816" s="3" t="str">
        <f t="shared" si="38"/>
        <v>20:34</v>
      </c>
      <c r="AD816" s="3">
        <f t="shared" si="39"/>
        <v>0.8569444444444444</v>
      </c>
      <c r="AE816" s="1">
        <v>82</v>
      </c>
      <c r="AF816" s="1">
        <v>10</v>
      </c>
      <c r="AG816" s="1">
        <v>4</v>
      </c>
    </row>
    <row r="817" spans="28:33" x14ac:dyDescent="0.3">
      <c r="AB817" s="3">
        <v>0.85763888888888695</v>
      </c>
      <c r="AC817" s="3" t="str">
        <f t="shared" si="38"/>
        <v>20:35</v>
      </c>
      <c r="AD817" s="3">
        <f t="shared" si="39"/>
        <v>0.85763888888888884</v>
      </c>
      <c r="AE817" s="1">
        <v>82</v>
      </c>
      <c r="AF817" s="1">
        <v>10</v>
      </c>
      <c r="AG817" s="1">
        <v>5</v>
      </c>
    </row>
    <row r="818" spans="28:33" x14ac:dyDescent="0.3">
      <c r="AB818" s="3">
        <v>0.85833333333333195</v>
      </c>
      <c r="AC818" s="3" t="str">
        <f t="shared" si="38"/>
        <v>20:36</v>
      </c>
      <c r="AD818" s="3">
        <f t="shared" si="39"/>
        <v>0.85833333333333339</v>
      </c>
      <c r="AE818" s="1">
        <v>82</v>
      </c>
      <c r="AF818" s="1">
        <v>10</v>
      </c>
      <c r="AG818" s="1">
        <v>6</v>
      </c>
    </row>
    <row r="819" spans="28:33" x14ac:dyDescent="0.3">
      <c r="AB819" s="3">
        <v>0.85902777777777595</v>
      </c>
      <c r="AC819" s="3" t="str">
        <f t="shared" si="38"/>
        <v>20:37</v>
      </c>
      <c r="AD819" s="3">
        <f t="shared" si="39"/>
        <v>0.85902777777777783</v>
      </c>
      <c r="AE819" s="1">
        <v>82</v>
      </c>
      <c r="AF819" s="1">
        <v>10</v>
      </c>
      <c r="AG819" s="1">
        <v>7</v>
      </c>
    </row>
    <row r="820" spans="28:33" x14ac:dyDescent="0.3">
      <c r="AB820" s="3">
        <v>0.85972222222222106</v>
      </c>
      <c r="AC820" s="3" t="str">
        <f t="shared" si="38"/>
        <v>20:38</v>
      </c>
      <c r="AD820" s="3">
        <f t="shared" si="39"/>
        <v>0.85972222222222217</v>
      </c>
      <c r="AE820" s="1">
        <v>82</v>
      </c>
      <c r="AF820" s="1">
        <v>10</v>
      </c>
      <c r="AG820" s="1">
        <v>8</v>
      </c>
    </row>
    <row r="821" spans="28:33" x14ac:dyDescent="0.3">
      <c r="AB821" s="3">
        <v>0.86041666666666505</v>
      </c>
      <c r="AC821" s="3" t="str">
        <f t="shared" si="38"/>
        <v>20:39</v>
      </c>
      <c r="AD821" s="3">
        <f t="shared" si="39"/>
        <v>0.86041666666666661</v>
      </c>
      <c r="AE821" s="1">
        <v>82</v>
      </c>
      <c r="AF821" s="1">
        <v>10</v>
      </c>
      <c r="AG821" s="1">
        <v>9</v>
      </c>
    </row>
    <row r="822" spans="28:33" x14ac:dyDescent="0.3">
      <c r="AB822" s="3">
        <v>0.86111111111110905</v>
      </c>
      <c r="AC822" s="3" t="str">
        <f t="shared" si="38"/>
        <v>20:40</v>
      </c>
      <c r="AD822" s="3">
        <f t="shared" si="39"/>
        <v>0.86111111111111116</v>
      </c>
      <c r="AE822" s="1">
        <v>83</v>
      </c>
      <c r="AF822" s="1">
        <v>10</v>
      </c>
      <c r="AG822" s="1">
        <v>0</v>
      </c>
    </row>
    <row r="823" spans="28:33" x14ac:dyDescent="0.3">
      <c r="AB823" s="3">
        <v>0.86180555555555405</v>
      </c>
      <c r="AC823" s="3" t="str">
        <f t="shared" si="38"/>
        <v>20:41</v>
      </c>
      <c r="AD823" s="3">
        <f t="shared" si="39"/>
        <v>0.8618055555555556</v>
      </c>
      <c r="AE823" s="1">
        <v>83</v>
      </c>
      <c r="AF823" s="1">
        <v>10</v>
      </c>
      <c r="AG823" s="1">
        <v>1</v>
      </c>
    </row>
    <row r="824" spans="28:33" x14ac:dyDescent="0.3">
      <c r="AB824" s="3">
        <v>0.86249999999999805</v>
      </c>
      <c r="AC824" s="3" t="str">
        <f t="shared" si="38"/>
        <v>20:42</v>
      </c>
      <c r="AD824" s="3">
        <f t="shared" si="39"/>
        <v>0.86249999999999993</v>
      </c>
      <c r="AE824" s="1">
        <v>83</v>
      </c>
      <c r="AF824" s="1">
        <v>10</v>
      </c>
      <c r="AG824" s="1">
        <v>2</v>
      </c>
    </row>
    <row r="825" spans="28:33" x14ac:dyDescent="0.3">
      <c r="AB825" s="3">
        <v>0.86319444444444304</v>
      </c>
      <c r="AC825" s="3" t="str">
        <f t="shared" si="38"/>
        <v>20:43</v>
      </c>
      <c r="AD825" s="3">
        <f t="shared" si="39"/>
        <v>0.86319444444444438</v>
      </c>
      <c r="AE825" s="1">
        <v>83</v>
      </c>
      <c r="AF825" s="1">
        <v>10</v>
      </c>
      <c r="AG825" s="1">
        <v>3</v>
      </c>
    </row>
    <row r="826" spans="28:33" x14ac:dyDescent="0.3">
      <c r="AB826" s="3">
        <v>0.86388888888888704</v>
      </c>
      <c r="AC826" s="3" t="str">
        <f t="shared" si="38"/>
        <v>20:44</v>
      </c>
      <c r="AD826" s="3">
        <f t="shared" si="39"/>
        <v>0.86388888888888893</v>
      </c>
      <c r="AE826" s="1">
        <v>83</v>
      </c>
      <c r="AF826" s="1">
        <v>10</v>
      </c>
      <c r="AG826" s="1">
        <v>4</v>
      </c>
    </row>
    <row r="827" spans="28:33" x14ac:dyDescent="0.3">
      <c r="AB827" s="3">
        <v>0.86458333333333204</v>
      </c>
      <c r="AC827" s="3" t="str">
        <f t="shared" si="38"/>
        <v>20:45</v>
      </c>
      <c r="AD827" s="3">
        <f t="shared" si="39"/>
        <v>0.86458333333333337</v>
      </c>
      <c r="AE827" s="1">
        <v>83</v>
      </c>
      <c r="AF827" s="1">
        <v>10</v>
      </c>
      <c r="AG827" s="1">
        <v>5</v>
      </c>
    </row>
    <row r="828" spans="28:33" x14ac:dyDescent="0.3">
      <c r="AB828" s="3">
        <v>0.86527777777777604</v>
      </c>
      <c r="AC828" s="3" t="str">
        <f t="shared" si="38"/>
        <v>20:46</v>
      </c>
      <c r="AD828" s="3">
        <f t="shared" si="39"/>
        <v>0.8652777777777777</v>
      </c>
      <c r="AE828" s="1">
        <v>83</v>
      </c>
      <c r="AF828" s="1">
        <v>10</v>
      </c>
      <c r="AG828" s="1">
        <v>6</v>
      </c>
    </row>
    <row r="829" spans="28:33" x14ac:dyDescent="0.3">
      <c r="AB829" s="3">
        <v>0.86597222222222103</v>
      </c>
      <c r="AC829" s="3" t="str">
        <f t="shared" si="38"/>
        <v>20:47</v>
      </c>
      <c r="AD829" s="3">
        <f t="shared" si="39"/>
        <v>0.86597222222222225</v>
      </c>
      <c r="AE829" s="1">
        <v>83</v>
      </c>
      <c r="AF829" s="1">
        <v>10</v>
      </c>
      <c r="AG829" s="1">
        <v>7</v>
      </c>
    </row>
    <row r="830" spans="28:33" x14ac:dyDescent="0.3">
      <c r="AB830" s="3">
        <v>0.86666666666666503</v>
      </c>
      <c r="AC830" s="3" t="str">
        <f t="shared" si="38"/>
        <v>20:48</v>
      </c>
      <c r="AD830" s="3">
        <f t="shared" si="39"/>
        <v>0.8666666666666667</v>
      </c>
      <c r="AE830" s="1">
        <v>83</v>
      </c>
      <c r="AF830" s="1">
        <v>10</v>
      </c>
      <c r="AG830" s="1">
        <v>8</v>
      </c>
    </row>
    <row r="831" spans="28:33" x14ac:dyDescent="0.3">
      <c r="AB831" s="3">
        <v>0.86736111111110903</v>
      </c>
      <c r="AC831" s="3" t="str">
        <f t="shared" si="38"/>
        <v>20:49</v>
      </c>
      <c r="AD831" s="3">
        <f t="shared" si="39"/>
        <v>0.86736111111111114</v>
      </c>
      <c r="AE831" s="1">
        <v>83</v>
      </c>
      <c r="AF831" s="1">
        <v>10</v>
      </c>
      <c r="AG831" s="1">
        <v>9</v>
      </c>
    </row>
    <row r="832" spans="28:33" x14ac:dyDescent="0.3">
      <c r="AB832" s="3">
        <v>0.86805555555555403</v>
      </c>
      <c r="AC832" s="3" t="str">
        <f t="shared" si="38"/>
        <v>20:50</v>
      </c>
      <c r="AD832" s="3">
        <f t="shared" si="39"/>
        <v>0.86805555555555547</v>
      </c>
      <c r="AE832" s="1">
        <v>84</v>
      </c>
      <c r="AF832" s="1">
        <v>10</v>
      </c>
      <c r="AG832" s="1">
        <v>0</v>
      </c>
    </row>
    <row r="833" spans="28:33" x14ac:dyDescent="0.3">
      <c r="AB833" s="3">
        <v>0.86874999999999802</v>
      </c>
      <c r="AC833" s="3" t="str">
        <f t="shared" si="38"/>
        <v>20:51</v>
      </c>
      <c r="AD833" s="3">
        <f t="shared" si="39"/>
        <v>0.86875000000000002</v>
      </c>
      <c r="AE833" s="1">
        <v>84</v>
      </c>
      <c r="AF833" s="1">
        <v>10</v>
      </c>
      <c r="AG833" s="1">
        <v>1</v>
      </c>
    </row>
    <row r="834" spans="28:33" x14ac:dyDescent="0.3">
      <c r="AB834" s="3">
        <v>0.86944444444444302</v>
      </c>
      <c r="AC834" s="3" t="str">
        <f t="shared" si="38"/>
        <v>20:52</v>
      </c>
      <c r="AD834" s="3">
        <f t="shared" si="39"/>
        <v>0.86944444444444446</v>
      </c>
      <c r="AE834" s="1">
        <v>84</v>
      </c>
      <c r="AF834" s="1">
        <v>10</v>
      </c>
      <c r="AG834" s="1">
        <v>2</v>
      </c>
    </row>
    <row r="835" spans="28:33" x14ac:dyDescent="0.3">
      <c r="AB835" s="3">
        <v>0.87013888888888702</v>
      </c>
      <c r="AC835" s="3" t="str">
        <f t="shared" ref="AC835:AC898" si="40">TEXT(AB835,"hh:mm")</f>
        <v>20:53</v>
      </c>
      <c r="AD835" s="3">
        <f t="shared" ref="AD835:AD898" si="41">VALUE(AC835)</f>
        <v>0.87013888888888891</v>
      </c>
      <c r="AE835" s="1">
        <v>84</v>
      </c>
      <c r="AF835" s="1">
        <v>10</v>
      </c>
      <c r="AG835" s="1">
        <v>3</v>
      </c>
    </row>
    <row r="836" spans="28:33" x14ac:dyDescent="0.3">
      <c r="AB836" s="3">
        <v>0.87083333333333202</v>
      </c>
      <c r="AC836" s="3" t="str">
        <f t="shared" si="40"/>
        <v>20:54</v>
      </c>
      <c r="AD836" s="3">
        <f t="shared" si="41"/>
        <v>0.87083333333333324</v>
      </c>
      <c r="AE836" s="1">
        <v>84</v>
      </c>
      <c r="AF836" s="1">
        <v>10</v>
      </c>
      <c r="AG836" s="1">
        <v>4</v>
      </c>
    </row>
    <row r="837" spans="28:33" x14ac:dyDescent="0.3">
      <c r="AB837" s="3">
        <v>0.87152777777777601</v>
      </c>
      <c r="AC837" s="3" t="str">
        <f t="shared" si="40"/>
        <v>20:55</v>
      </c>
      <c r="AD837" s="3">
        <f t="shared" si="41"/>
        <v>0.87152777777777779</v>
      </c>
      <c r="AE837" s="1">
        <v>84</v>
      </c>
      <c r="AF837" s="1">
        <v>10</v>
      </c>
      <c r="AG837" s="1">
        <v>5</v>
      </c>
    </row>
    <row r="838" spans="28:33" x14ac:dyDescent="0.3">
      <c r="AB838" s="3">
        <v>0.87222222222222001</v>
      </c>
      <c r="AC838" s="3" t="str">
        <f t="shared" si="40"/>
        <v>20:56</v>
      </c>
      <c r="AD838" s="3">
        <f t="shared" si="41"/>
        <v>0.87222222222222223</v>
      </c>
      <c r="AE838" s="1">
        <v>84</v>
      </c>
      <c r="AF838" s="1">
        <v>10</v>
      </c>
      <c r="AG838" s="1">
        <v>6</v>
      </c>
    </row>
    <row r="839" spans="28:33" x14ac:dyDescent="0.3">
      <c r="AB839" s="3">
        <v>0.87291666666666501</v>
      </c>
      <c r="AC839" s="3" t="str">
        <f t="shared" si="40"/>
        <v>20:57</v>
      </c>
      <c r="AD839" s="3">
        <f t="shared" si="41"/>
        <v>0.87291666666666667</v>
      </c>
      <c r="AE839" s="1">
        <v>84</v>
      </c>
      <c r="AF839" s="1">
        <v>10</v>
      </c>
      <c r="AG839" s="1">
        <v>7</v>
      </c>
    </row>
    <row r="840" spans="28:33" x14ac:dyDescent="0.3">
      <c r="AB840" s="3">
        <v>0.87361111111110901</v>
      </c>
      <c r="AC840" s="3" t="str">
        <f t="shared" si="40"/>
        <v>20:58</v>
      </c>
      <c r="AD840" s="3">
        <f t="shared" si="41"/>
        <v>0.87361111111111101</v>
      </c>
      <c r="AE840" s="1">
        <v>84</v>
      </c>
      <c r="AF840" s="1">
        <v>10</v>
      </c>
      <c r="AG840" s="1">
        <v>8</v>
      </c>
    </row>
    <row r="841" spans="28:33" x14ac:dyDescent="0.3">
      <c r="AB841" s="3">
        <v>0.874305555555554</v>
      </c>
      <c r="AC841" s="3" t="str">
        <f t="shared" si="40"/>
        <v>20:59</v>
      </c>
      <c r="AD841" s="3">
        <f t="shared" si="41"/>
        <v>0.87430555555555556</v>
      </c>
      <c r="AE841" s="1">
        <v>84</v>
      </c>
      <c r="AF841" s="1">
        <v>10</v>
      </c>
      <c r="AG841" s="1">
        <v>9</v>
      </c>
    </row>
    <row r="842" spans="28:33" x14ac:dyDescent="0.3">
      <c r="AB842" s="3">
        <v>0.874999999999998</v>
      </c>
      <c r="AC842" s="3" t="str">
        <f t="shared" si="40"/>
        <v>21:00</v>
      </c>
      <c r="AD842" s="3">
        <f t="shared" si="41"/>
        <v>0.875</v>
      </c>
      <c r="AE842" s="1">
        <v>85</v>
      </c>
      <c r="AF842" s="1">
        <v>10</v>
      </c>
      <c r="AG842" s="1">
        <v>0</v>
      </c>
    </row>
    <row r="843" spans="28:33" x14ac:dyDescent="0.3">
      <c r="AB843" s="3">
        <v>0.875694444444443</v>
      </c>
      <c r="AC843" s="3" t="str">
        <f t="shared" si="40"/>
        <v>21:01</v>
      </c>
      <c r="AD843" s="3">
        <f t="shared" si="41"/>
        <v>0.87569444444444444</v>
      </c>
      <c r="AE843" s="1">
        <v>85</v>
      </c>
      <c r="AF843" s="1">
        <v>10</v>
      </c>
      <c r="AG843" s="1">
        <v>1</v>
      </c>
    </row>
    <row r="844" spans="28:33" x14ac:dyDescent="0.3">
      <c r="AB844" s="3">
        <v>0.876388888888887</v>
      </c>
      <c r="AC844" s="3" t="str">
        <f t="shared" si="40"/>
        <v>21:02</v>
      </c>
      <c r="AD844" s="3">
        <f t="shared" si="41"/>
        <v>0.87638888888888899</v>
      </c>
      <c r="AE844" s="1">
        <v>85</v>
      </c>
      <c r="AF844" s="1">
        <v>10</v>
      </c>
      <c r="AG844" s="1">
        <v>2</v>
      </c>
    </row>
    <row r="845" spans="28:33" x14ac:dyDescent="0.3">
      <c r="AB845" s="3">
        <v>0.87708333333333199</v>
      </c>
      <c r="AC845" s="3" t="str">
        <f t="shared" si="40"/>
        <v>21:03</v>
      </c>
      <c r="AD845" s="3">
        <f t="shared" si="41"/>
        <v>0.87708333333333333</v>
      </c>
      <c r="AE845" s="1">
        <v>85</v>
      </c>
      <c r="AF845" s="1">
        <v>10</v>
      </c>
      <c r="AG845" s="1">
        <v>3</v>
      </c>
    </row>
    <row r="846" spans="28:33" x14ac:dyDescent="0.3">
      <c r="AB846" s="3">
        <v>0.87777777777777599</v>
      </c>
      <c r="AC846" s="3" t="str">
        <f t="shared" si="40"/>
        <v>21:04</v>
      </c>
      <c r="AD846" s="3">
        <f t="shared" si="41"/>
        <v>0.87777777777777777</v>
      </c>
      <c r="AE846" s="1">
        <v>85</v>
      </c>
      <c r="AF846" s="1">
        <v>10</v>
      </c>
      <c r="AG846" s="1">
        <v>4</v>
      </c>
    </row>
    <row r="847" spans="28:33" x14ac:dyDescent="0.3">
      <c r="AB847" s="3">
        <v>0.87847222222221999</v>
      </c>
      <c r="AC847" s="3" t="str">
        <f t="shared" si="40"/>
        <v>21:05</v>
      </c>
      <c r="AD847" s="3">
        <f t="shared" si="41"/>
        <v>0.87847222222222221</v>
      </c>
      <c r="AE847" s="1">
        <v>85</v>
      </c>
      <c r="AF847" s="1">
        <v>10</v>
      </c>
      <c r="AG847" s="1">
        <v>5</v>
      </c>
    </row>
    <row r="848" spans="28:33" x14ac:dyDescent="0.3">
      <c r="AB848" s="3">
        <v>0.87916666666666499</v>
      </c>
      <c r="AC848" s="3" t="str">
        <f t="shared" si="40"/>
        <v>21:06</v>
      </c>
      <c r="AD848" s="3">
        <f t="shared" si="41"/>
        <v>0.87916666666666676</v>
      </c>
      <c r="AE848" s="1">
        <v>85</v>
      </c>
      <c r="AF848" s="1">
        <v>10</v>
      </c>
      <c r="AG848" s="1">
        <v>6</v>
      </c>
    </row>
    <row r="849" spans="28:33" x14ac:dyDescent="0.3">
      <c r="AB849" s="3">
        <v>0.87986111111110898</v>
      </c>
      <c r="AC849" s="3" t="str">
        <f t="shared" si="40"/>
        <v>21:07</v>
      </c>
      <c r="AD849" s="3">
        <f t="shared" si="41"/>
        <v>0.87986111111111109</v>
      </c>
      <c r="AE849" s="1">
        <v>85</v>
      </c>
      <c r="AF849" s="1">
        <v>10</v>
      </c>
      <c r="AG849" s="1">
        <v>7</v>
      </c>
    </row>
    <row r="850" spans="28:33" x14ac:dyDescent="0.3">
      <c r="AB850" s="3">
        <v>0.88055555555555398</v>
      </c>
      <c r="AC850" s="3" t="str">
        <f t="shared" si="40"/>
        <v>21:08</v>
      </c>
      <c r="AD850" s="3">
        <f t="shared" si="41"/>
        <v>0.88055555555555554</v>
      </c>
      <c r="AE850" s="1">
        <v>85</v>
      </c>
      <c r="AF850" s="1">
        <v>10</v>
      </c>
      <c r="AG850" s="1">
        <v>8</v>
      </c>
    </row>
    <row r="851" spans="28:33" x14ac:dyDescent="0.3">
      <c r="AB851" s="3">
        <v>0.88124999999999798</v>
      </c>
      <c r="AC851" s="3" t="str">
        <f t="shared" si="40"/>
        <v>21:09</v>
      </c>
      <c r="AD851" s="3">
        <f t="shared" si="41"/>
        <v>0.88124999999999998</v>
      </c>
      <c r="AE851" s="1">
        <v>85</v>
      </c>
      <c r="AF851" s="1">
        <v>10</v>
      </c>
      <c r="AG851" s="1">
        <v>9</v>
      </c>
    </row>
    <row r="852" spans="28:33" x14ac:dyDescent="0.3">
      <c r="AB852" s="3">
        <v>0.88194444444444298</v>
      </c>
      <c r="AC852" s="3" t="str">
        <f t="shared" si="40"/>
        <v>21:10</v>
      </c>
      <c r="AD852" s="3">
        <f t="shared" si="41"/>
        <v>0.88194444444444453</v>
      </c>
      <c r="AE852" s="1">
        <v>86</v>
      </c>
      <c r="AF852" s="1">
        <v>10</v>
      </c>
      <c r="AG852" s="1">
        <v>0</v>
      </c>
    </row>
    <row r="853" spans="28:33" x14ac:dyDescent="0.3">
      <c r="AB853" s="3">
        <v>0.88263888888888697</v>
      </c>
      <c r="AC853" s="3" t="str">
        <f t="shared" si="40"/>
        <v>21:11</v>
      </c>
      <c r="AD853" s="3">
        <f t="shared" si="41"/>
        <v>0.88263888888888886</v>
      </c>
      <c r="AE853" s="1">
        <v>86</v>
      </c>
      <c r="AF853" s="1">
        <v>10</v>
      </c>
      <c r="AG853" s="1">
        <v>1</v>
      </c>
    </row>
    <row r="854" spans="28:33" x14ac:dyDescent="0.3">
      <c r="AB854" s="3">
        <v>0.88333333333333197</v>
      </c>
      <c r="AC854" s="3" t="str">
        <f t="shared" si="40"/>
        <v>21:12</v>
      </c>
      <c r="AD854" s="3">
        <f t="shared" si="41"/>
        <v>0.8833333333333333</v>
      </c>
      <c r="AE854" s="1">
        <v>86</v>
      </c>
      <c r="AF854" s="1">
        <v>10</v>
      </c>
      <c r="AG854" s="1">
        <v>2</v>
      </c>
    </row>
    <row r="855" spans="28:33" x14ac:dyDescent="0.3">
      <c r="AB855" s="3">
        <v>0.88402777777777597</v>
      </c>
      <c r="AC855" s="3" t="str">
        <f t="shared" si="40"/>
        <v>21:13</v>
      </c>
      <c r="AD855" s="3">
        <f t="shared" si="41"/>
        <v>0.88402777777777775</v>
      </c>
      <c r="AE855" s="1">
        <v>86</v>
      </c>
      <c r="AF855" s="1">
        <v>10</v>
      </c>
      <c r="AG855" s="1">
        <v>3</v>
      </c>
    </row>
    <row r="856" spans="28:33" x14ac:dyDescent="0.3">
      <c r="AB856" s="3">
        <v>0.88472222222221997</v>
      </c>
      <c r="AC856" s="3" t="str">
        <f t="shared" si="40"/>
        <v>21:14</v>
      </c>
      <c r="AD856" s="3">
        <f t="shared" si="41"/>
        <v>0.8847222222222223</v>
      </c>
      <c r="AE856" s="1">
        <v>86</v>
      </c>
      <c r="AF856" s="1">
        <v>10</v>
      </c>
      <c r="AG856" s="1">
        <v>4</v>
      </c>
    </row>
    <row r="857" spans="28:33" x14ac:dyDescent="0.3">
      <c r="AB857" s="3">
        <v>0.88541666666666496</v>
      </c>
      <c r="AC857" s="3" t="str">
        <f t="shared" si="40"/>
        <v>21:15</v>
      </c>
      <c r="AD857" s="3">
        <f t="shared" si="41"/>
        <v>0.88541666666666663</v>
      </c>
      <c r="AE857" s="1">
        <v>86</v>
      </c>
      <c r="AF857" s="1">
        <v>10</v>
      </c>
      <c r="AG857" s="1">
        <v>5</v>
      </c>
    </row>
    <row r="858" spans="28:33" x14ac:dyDescent="0.3">
      <c r="AB858" s="3">
        <v>0.88611111111110896</v>
      </c>
      <c r="AC858" s="3" t="str">
        <f t="shared" si="40"/>
        <v>21:16</v>
      </c>
      <c r="AD858" s="3">
        <f t="shared" si="41"/>
        <v>0.88611111111111107</v>
      </c>
      <c r="AE858" s="1">
        <v>86</v>
      </c>
      <c r="AF858" s="1">
        <v>10</v>
      </c>
      <c r="AG858" s="1">
        <v>6</v>
      </c>
    </row>
    <row r="859" spans="28:33" x14ac:dyDescent="0.3">
      <c r="AB859" s="3">
        <v>0.88680555555555396</v>
      </c>
      <c r="AC859" s="3" t="str">
        <f t="shared" si="40"/>
        <v>21:17</v>
      </c>
      <c r="AD859" s="3">
        <f t="shared" si="41"/>
        <v>0.88680555555555562</v>
      </c>
      <c r="AE859" s="1">
        <v>86</v>
      </c>
      <c r="AF859" s="1">
        <v>10</v>
      </c>
      <c r="AG859" s="1">
        <v>7</v>
      </c>
    </row>
    <row r="860" spans="28:33" x14ac:dyDescent="0.3">
      <c r="AB860" s="3">
        <v>0.88749999999999796</v>
      </c>
      <c r="AC860" s="3" t="str">
        <f t="shared" si="40"/>
        <v>21:18</v>
      </c>
      <c r="AD860" s="3">
        <f t="shared" si="41"/>
        <v>0.88750000000000007</v>
      </c>
      <c r="AE860" s="1">
        <v>86</v>
      </c>
      <c r="AF860" s="1">
        <v>10</v>
      </c>
      <c r="AG860" s="1">
        <v>8</v>
      </c>
    </row>
    <row r="861" spans="28:33" x14ac:dyDescent="0.3">
      <c r="AB861" s="3">
        <v>0.88819444444444295</v>
      </c>
      <c r="AC861" s="3" t="str">
        <f t="shared" si="40"/>
        <v>21:19</v>
      </c>
      <c r="AD861" s="3">
        <f t="shared" si="41"/>
        <v>0.8881944444444444</v>
      </c>
      <c r="AE861" s="1">
        <v>86</v>
      </c>
      <c r="AF861" s="1">
        <v>10</v>
      </c>
      <c r="AG861" s="1">
        <v>9</v>
      </c>
    </row>
    <row r="862" spans="28:33" x14ac:dyDescent="0.3">
      <c r="AB862" s="3">
        <v>0.88888888888888695</v>
      </c>
      <c r="AC862" s="3" t="str">
        <f t="shared" si="40"/>
        <v>21:20</v>
      </c>
      <c r="AD862" s="3">
        <f t="shared" si="41"/>
        <v>0.88888888888888884</v>
      </c>
      <c r="AE862" s="1">
        <v>87</v>
      </c>
      <c r="AF862" s="1">
        <v>10</v>
      </c>
      <c r="AG862" s="1">
        <v>0</v>
      </c>
    </row>
    <row r="863" spans="28:33" x14ac:dyDescent="0.3">
      <c r="AB863" s="3">
        <v>0.88958333333333195</v>
      </c>
      <c r="AC863" s="3" t="str">
        <f t="shared" si="40"/>
        <v>21:21</v>
      </c>
      <c r="AD863" s="3">
        <f t="shared" si="41"/>
        <v>0.88958333333333339</v>
      </c>
      <c r="AE863" s="1">
        <v>87</v>
      </c>
      <c r="AF863" s="1">
        <v>10</v>
      </c>
      <c r="AG863" s="1">
        <v>1</v>
      </c>
    </row>
    <row r="864" spans="28:33" x14ac:dyDescent="0.3">
      <c r="AB864" s="3">
        <v>0.89027777777777595</v>
      </c>
      <c r="AC864" s="3" t="str">
        <f t="shared" si="40"/>
        <v>21:22</v>
      </c>
      <c r="AD864" s="3">
        <f t="shared" si="41"/>
        <v>0.89027777777777783</v>
      </c>
      <c r="AE864" s="1">
        <v>87</v>
      </c>
      <c r="AF864" s="1">
        <v>10</v>
      </c>
      <c r="AG864" s="1">
        <v>2</v>
      </c>
    </row>
    <row r="865" spans="28:33" x14ac:dyDescent="0.3">
      <c r="AB865" s="3">
        <v>0.89097222222221995</v>
      </c>
      <c r="AC865" s="3" t="str">
        <f t="shared" si="40"/>
        <v>21:23</v>
      </c>
      <c r="AD865" s="3">
        <f t="shared" si="41"/>
        <v>0.89097222222222217</v>
      </c>
      <c r="AE865" s="1">
        <v>87</v>
      </c>
      <c r="AF865" s="1">
        <v>10</v>
      </c>
      <c r="AG865" s="1">
        <v>3</v>
      </c>
    </row>
    <row r="866" spans="28:33" x14ac:dyDescent="0.3">
      <c r="AB866" s="3">
        <v>0.89166666666666505</v>
      </c>
      <c r="AC866" s="3" t="str">
        <f t="shared" si="40"/>
        <v>21:24</v>
      </c>
      <c r="AD866" s="3">
        <f t="shared" si="41"/>
        <v>0.89166666666666661</v>
      </c>
      <c r="AE866" s="1">
        <v>87</v>
      </c>
      <c r="AF866" s="1">
        <v>10</v>
      </c>
      <c r="AG866" s="1">
        <v>4</v>
      </c>
    </row>
    <row r="867" spans="28:33" x14ac:dyDescent="0.3">
      <c r="AB867" s="3">
        <v>0.89236111111110905</v>
      </c>
      <c r="AC867" s="3" t="str">
        <f t="shared" si="40"/>
        <v>21:25</v>
      </c>
      <c r="AD867" s="3">
        <f t="shared" si="41"/>
        <v>0.89236111111111116</v>
      </c>
      <c r="AE867" s="1">
        <v>87</v>
      </c>
      <c r="AF867" s="1">
        <v>10</v>
      </c>
      <c r="AG867" s="1">
        <v>5</v>
      </c>
    </row>
    <row r="868" spans="28:33" x14ac:dyDescent="0.3">
      <c r="AB868" s="3">
        <v>0.89305555555555405</v>
      </c>
      <c r="AC868" s="3" t="str">
        <f t="shared" si="40"/>
        <v>21:26</v>
      </c>
      <c r="AD868" s="3">
        <f t="shared" si="41"/>
        <v>0.8930555555555556</v>
      </c>
      <c r="AE868" s="1">
        <v>87</v>
      </c>
      <c r="AF868" s="1">
        <v>10</v>
      </c>
      <c r="AG868" s="1">
        <v>6</v>
      </c>
    </row>
    <row r="869" spans="28:33" x14ac:dyDescent="0.3">
      <c r="AB869" s="3">
        <v>0.89374999999999805</v>
      </c>
      <c r="AC869" s="3" t="str">
        <f t="shared" si="40"/>
        <v>21:27</v>
      </c>
      <c r="AD869" s="3">
        <f t="shared" si="41"/>
        <v>0.89374999999999993</v>
      </c>
      <c r="AE869" s="1">
        <v>87</v>
      </c>
      <c r="AF869" s="1">
        <v>10</v>
      </c>
      <c r="AG869" s="1">
        <v>7</v>
      </c>
    </row>
    <row r="870" spans="28:33" x14ac:dyDescent="0.3">
      <c r="AB870" s="3">
        <v>0.89444444444444304</v>
      </c>
      <c r="AC870" s="3" t="str">
        <f t="shared" si="40"/>
        <v>21:28</v>
      </c>
      <c r="AD870" s="3">
        <f t="shared" si="41"/>
        <v>0.89444444444444438</v>
      </c>
      <c r="AE870" s="1">
        <v>87</v>
      </c>
      <c r="AF870" s="1">
        <v>10</v>
      </c>
      <c r="AG870" s="1">
        <v>8</v>
      </c>
    </row>
    <row r="871" spans="28:33" x14ac:dyDescent="0.3">
      <c r="AB871" s="3">
        <v>0.89513888888888704</v>
      </c>
      <c r="AC871" s="3" t="str">
        <f t="shared" si="40"/>
        <v>21:29</v>
      </c>
      <c r="AD871" s="3">
        <f t="shared" si="41"/>
        <v>0.89513888888888893</v>
      </c>
      <c r="AE871" s="1">
        <v>87</v>
      </c>
      <c r="AF871" s="1">
        <v>10</v>
      </c>
      <c r="AG871" s="1">
        <v>9</v>
      </c>
    </row>
    <row r="872" spans="28:33" x14ac:dyDescent="0.3">
      <c r="AB872" s="3">
        <v>0.89583333333333204</v>
      </c>
      <c r="AC872" s="3" t="str">
        <f t="shared" si="40"/>
        <v>21:30</v>
      </c>
      <c r="AD872" s="3">
        <f t="shared" si="41"/>
        <v>0.89583333333333337</v>
      </c>
      <c r="AE872" s="1">
        <v>88</v>
      </c>
      <c r="AF872" s="1">
        <v>10</v>
      </c>
      <c r="AG872" s="1">
        <v>0</v>
      </c>
    </row>
    <row r="873" spans="28:33" x14ac:dyDescent="0.3">
      <c r="AB873" s="3">
        <v>0.89652777777777604</v>
      </c>
      <c r="AC873" s="3" t="str">
        <f t="shared" si="40"/>
        <v>21:31</v>
      </c>
      <c r="AD873" s="3">
        <f t="shared" si="41"/>
        <v>0.8965277777777777</v>
      </c>
      <c r="AE873" s="1">
        <v>88</v>
      </c>
      <c r="AF873" s="1">
        <v>10</v>
      </c>
      <c r="AG873" s="1">
        <v>1</v>
      </c>
    </row>
    <row r="874" spans="28:33" x14ac:dyDescent="0.3">
      <c r="AB874" s="3">
        <v>0.89722222222222003</v>
      </c>
      <c r="AC874" s="3" t="str">
        <f t="shared" si="40"/>
        <v>21:32</v>
      </c>
      <c r="AD874" s="3">
        <f t="shared" si="41"/>
        <v>0.89722222222222225</v>
      </c>
      <c r="AE874" s="1">
        <v>88</v>
      </c>
      <c r="AF874" s="1">
        <v>10</v>
      </c>
      <c r="AG874" s="1">
        <v>2</v>
      </c>
    </row>
    <row r="875" spans="28:33" x14ac:dyDescent="0.3">
      <c r="AB875" s="3">
        <v>0.89791666666666503</v>
      </c>
      <c r="AC875" s="3" t="str">
        <f t="shared" si="40"/>
        <v>21:33</v>
      </c>
      <c r="AD875" s="3">
        <f t="shared" si="41"/>
        <v>0.8979166666666667</v>
      </c>
      <c r="AE875" s="1">
        <v>88</v>
      </c>
      <c r="AF875" s="1">
        <v>10</v>
      </c>
      <c r="AG875" s="1">
        <v>3</v>
      </c>
    </row>
    <row r="876" spans="28:33" x14ac:dyDescent="0.3">
      <c r="AB876" s="3">
        <v>0.89861111111110903</v>
      </c>
      <c r="AC876" s="3" t="str">
        <f t="shared" si="40"/>
        <v>21:34</v>
      </c>
      <c r="AD876" s="3">
        <f t="shared" si="41"/>
        <v>0.89861111111111114</v>
      </c>
      <c r="AE876" s="1">
        <v>88</v>
      </c>
      <c r="AF876" s="1">
        <v>10</v>
      </c>
      <c r="AG876" s="1">
        <v>4</v>
      </c>
    </row>
    <row r="877" spans="28:33" x14ac:dyDescent="0.3">
      <c r="AB877" s="3">
        <v>0.89930555555555403</v>
      </c>
      <c r="AC877" s="3" t="str">
        <f t="shared" si="40"/>
        <v>21:35</v>
      </c>
      <c r="AD877" s="3">
        <f t="shared" si="41"/>
        <v>0.89930555555555547</v>
      </c>
      <c r="AE877" s="1">
        <v>88</v>
      </c>
      <c r="AF877" s="1">
        <v>10</v>
      </c>
      <c r="AG877" s="1">
        <v>5</v>
      </c>
    </row>
    <row r="878" spans="28:33" x14ac:dyDescent="0.3">
      <c r="AB878" s="3">
        <v>0.89999999999999802</v>
      </c>
      <c r="AC878" s="3" t="str">
        <f t="shared" si="40"/>
        <v>21:36</v>
      </c>
      <c r="AD878" s="3">
        <f t="shared" si="41"/>
        <v>0.9</v>
      </c>
      <c r="AE878" s="1">
        <v>88</v>
      </c>
      <c r="AF878" s="1">
        <v>10</v>
      </c>
      <c r="AG878" s="1">
        <v>6</v>
      </c>
    </row>
    <row r="879" spans="28:33" x14ac:dyDescent="0.3">
      <c r="AB879" s="3">
        <v>0.90069444444444302</v>
      </c>
      <c r="AC879" s="3" t="str">
        <f t="shared" si="40"/>
        <v>21:37</v>
      </c>
      <c r="AD879" s="3">
        <f t="shared" si="41"/>
        <v>0.90069444444444446</v>
      </c>
      <c r="AE879" s="1">
        <v>88</v>
      </c>
      <c r="AF879" s="1">
        <v>10</v>
      </c>
      <c r="AG879" s="1">
        <v>7</v>
      </c>
    </row>
    <row r="880" spans="28:33" x14ac:dyDescent="0.3">
      <c r="AB880" s="3">
        <v>0.90138888888888702</v>
      </c>
      <c r="AC880" s="3" t="str">
        <f t="shared" si="40"/>
        <v>21:38</v>
      </c>
      <c r="AD880" s="3">
        <f t="shared" si="41"/>
        <v>0.90138888888888891</v>
      </c>
      <c r="AE880" s="1">
        <v>88</v>
      </c>
      <c r="AF880" s="1">
        <v>10</v>
      </c>
      <c r="AG880" s="1">
        <v>8</v>
      </c>
    </row>
    <row r="881" spans="28:33" x14ac:dyDescent="0.3">
      <c r="AB881" s="3">
        <v>0.90208333333333102</v>
      </c>
      <c r="AC881" s="3" t="str">
        <f t="shared" si="40"/>
        <v>21:39</v>
      </c>
      <c r="AD881" s="3">
        <f t="shared" si="41"/>
        <v>0.90208333333333324</v>
      </c>
      <c r="AE881" s="1">
        <v>88</v>
      </c>
      <c r="AF881" s="1">
        <v>10</v>
      </c>
      <c r="AG881" s="1">
        <v>9</v>
      </c>
    </row>
    <row r="882" spans="28:33" x14ac:dyDescent="0.3">
      <c r="AB882" s="3">
        <v>0.90277777777777601</v>
      </c>
      <c r="AC882" s="3" t="str">
        <f t="shared" si="40"/>
        <v>21:40</v>
      </c>
      <c r="AD882" s="3">
        <f t="shared" si="41"/>
        <v>0.90277777777777779</v>
      </c>
      <c r="AE882" s="1">
        <v>89</v>
      </c>
      <c r="AF882" s="1">
        <v>10</v>
      </c>
      <c r="AG882" s="1">
        <v>0</v>
      </c>
    </row>
    <row r="883" spans="28:33" x14ac:dyDescent="0.3">
      <c r="AB883" s="3">
        <v>0.90347222222222001</v>
      </c>
      <c r="AC883" s="3" t="str">
        <f t="shared" si="40"/>
        <v>21:41</v>
      </c>
      <c r="AD883" s="3">
        <f t="shared" si="41"/>
        <v>0.90347222222222223</v>
      </c>
      <c r="AE883" s="1">
        <v>89</v>
      </c>
      <c r="AF883" s="1">
        <v>10</v>
      </c>
      <c r="AG883" s="1">
        <v>1</v>
      </c>
    </row>
    <row r="884" spans="28:33" x14ac:dyDescent="0.3">
      <c r="AB884" s="3">
        <v>0.90416666666666501</v>
      </c>
      <c r="AC884" s="3" t="str">
        <f t="shared" si="40"/>
        <v>21:42</v>
      </c>
      <c r="AD884" s="3">
        <f t="shared" si="41"/>
        <v>0.90416666666666667</v>
      </c>
      <c r="AE884" s="1">
        <v>89</v>
      </c>
      <c r="AF884" s="1">
        <v>10</v>
      </c>
      <c r="AG884" s="1">
        <v>2</v>
      </c>
    </row>
    <row r="885" spans="28:33" x14ac:dyDescent="0.3">
      <c r="AB885" s="3">
        <v>0.90486111111110901</v>
      </c>
      <c r="AC885" s="3" t="str">
        <f t="shared" si="40"/>
        <v>21:43</v>
      </c>
      <c r="AD885" s="3">
        <f t="shared" si="41"/>
        <v>0.90486111111111101</v>
      </c>
      <c r="AE885" s="1">
        <v>89</v>
      </c>
      <c r="AF885" s="1">
        <v>10</v>
      </c>
      <c r="AG885" s="1">
        <v>3</v>
      </c>
    </row>
    <row r="886" spans="28:33" x14ac:dyDescent="0.3">
      <c r="AB886" s="3">
        <v>0.905555555555554</v>
      </c>
      <c r="AC886" s="3" t="str">
        <f t="shared" si="40"/>
        <v>21:44</v>
      </c>
      <c r="AD886" s="3">
        <f t="shared" si="41"/>
        <v>0.90555555555555556</v>
      </c>
      <c r="AE886" s="1">
        <v>89</v>
      </c>
      <c r="AF886" s="1">
        <v>10</v>
      </c>
      <c r="AG886" s="1">
        <v>4</v>
      </c>
    </row>
    <row r="887" spans="28:33" x14ac:dyDescent="0.3">
      <c r="AB887" s="3">
        <v>0.906249999999998</v>
      </c>
      <c r="AC887" s="3" t="str">
        <f t="shared" si="40"/>
        <v>21:45</v>
      </c>
      <c r="AD887" s="3">
        <f t="shared" si="41"/>
        <v>0.90625</v>
      </c>
      <c r="AE887" s="1">
        <v>89</v>
      </c>
      <c r="AF887" s="1">
        <v>10</v>
      </c>
      <c r="AG887" s="1">
        <v>5</v>
      </c>
    </row>
    <row r="888" spans="28:33" x14ac:dyDescent="0.3">
      <c r="AB888" s="3">
        <v>0.906944444444443</v>
      </c>
      <c r="AC888" s="3" t="str">
        <f t="shared" si="40"/>
        <v>21:46</v>
      </c>
      <c r="AD888" s="3">
        <f t="shared" si="41"/>
        <v>0.90694444444444444</v>
      </c>
      <c r="AE888" s="1">
        <v>89</v>
      </c>
      <c r="AF888" s="1">
        <v>10</v>
      </c>
      <c r="AG888" s="1">
        <v>6</v>
      </c>
    </row>
    <row r="889" spans="28:33" x14ac:dyDescent="0.3">
      <c r="AB889" s="3">
        <v>0.907638888888887</v>
      </c>
      <c r="AC889" s="3" t="str">
        <f t="shared" si="40"/>
        <v>21:47</v>
      </c>
      <c r="AD889" s="3">
        <f t="shared" si="41"/>
        <v>0.90763888888888899</v>
      </c>
      <c r="AE889" s="1">
        <v>89</v>
      </c>
      <c r="AF889" s="1">
        <v>10</v>
      </c>
      <c r="AG889" s="1">
        <v>7</v>
      </c>
    </row>
    <row r="890" spans="28:33" x14ac:dyDescent="0.3">
      <c r="AB890" s="3">
        <v>0.90833333333333099</v>
      </c>
      <c r="AC890" s="3" t="str">
        <f t="shared" si="40"/>
        <v>21:48</v>
      </c>
      <c r="AD890" s="3">
        <f t="shared" si="41"/>
        <v>0.90833333333333333</v>
      </c>
      <c r="AE890" s="1">
        <v>89</v>
      </c>
      <c r="AF890" s="1">
        <v>10</v>
      </c>
      <c r="AG890" s="1">
        <v>8</v>
      </c>
    </row>
    <row r="891" spans="28:33" x14ac:dyDescent="0.3">
      <c r="AB891" s="3">
        <v>0.90902777777777599</v>
      </c>
      <c r="AC891" s="3" t="str">
        <f t="shared" si="40"/>
        <v>21:49</v>
      </c>
      <c r="AD891" s="3">
        <f t="shared" si="41"/>
        <v>0.90902777777777777</v>
      </c>
      <c r="AE891" s="1">
        <v>89</v>
      </c>
      <c r="AF891" s="1">
        <v>10</v>
      </c>
      <c r="AG891" s="1">
        <v>9</v>
      </c>
    </row>
    <row r="892" spans="28:33" x14ac:dyDescent="0.3">
      <c r="AB892" s="3">
        <v>0.90972222222221999</v>
      </c>
      <c r="AC892" s="3" t="str">
        <f t="shared" si="40"/>
        <v>21:50</v>
      </c>
      <c r="AD892" s="3">
        <f t="shared" si="41"/>
        <v>0.90972222222222221</v>
      </c>
      <c r="AE892" s="1">
        <v>90</v>
      </c>
      <c r="AF892" s="1">
        <v>10</v>
      </c>
      <c r="AG892" s="1">
        <v>0</v>
      </c>
    </row>
    <row r="893" spans="28:33" x14ac:dyDescent="0.3">
      <c r="AB893" s="3">
        <v>0.91041666666666499</v>
      </c>
      <c r="AC893" s="3" t="str">
        <f t="shared" si="40"/>
        <v>21:51</v>
      </c>
      <c r="AD893" s="3">
        <f t="shared" si="41"/>
        <v>0.91041666666666676</v>
      </c>
      <c r="AE893" s="1">
        <v>90</v>
      </c>
      <c r="AF893" s="1">
        <v>10</v>
      </c>
      <c r="AG893" s="1">
        <v>1</v>
      </c>
    </row>
    <row r="894" spans="28:33" x14ac:dyDescent="0.3">
      <c r="AB894" s="3">
        <v>0.91111111111110898</v>
      </c>
      <c r="AC894" s="3" t="str">
        <f t="shared" si="40"/>
        <v>21:52</v>
      </c>
      <c r="AD894" s="3">
        <f t="shared" si="41"/>
        <v>0.91111111111111109</v>
      </c>
      <c r="AE894" s="1">
        <v>90</v>
      </c>
      <c r="AF894" s="1">
        <v>10</v>
      </c>
      <c r="AG894" s="1">
        <v>2</v>
      </c>
    </row>
    <row r="895" spans="28:33" x14ac:dyDescent="0.3">
      <c r="AB895" s="3">
        <v>0.91180555555555398</v>
      </c>
      <c r="AC895" s="3" t="str">
        <f t="shared" si="40"/>
        <v>21:53</v>
      </c>
      <c r="AD895" s="3">
        <f t="shared" si="41"/>
        <v>0.91180555555555554</v>
      </c>
      <c r="AE895" s="1">
        <v>90</v>
      </c>
      <c r="AF895" s="1">
        <v>10</v>
      </c>
      <c r="AG895" s="1">
        <v>3</v>
      </c>
    </row>
    <row r="896" spans="28:33" x14ac:dyDescent="0.3">
      <c r="AB896" s="3">
        <v>0.91249999999999798</v>
      </c>
      <c r="AC896" s="3" t="str">
        <f t="shared" si="40"/>
        <v>21:54</v>
      </c>
      <c r="AD896" s="3">
        <f t="shared" si="41"/>
        <v>0.91249999999999998</v>
      </c>
      <c r="AE896" s="1">
        <v>90</v>
      </c>
      <c r="AF896" s="1">
        <v>10</v>
      </c>
      <c r="AG896" s="1">
        <v>4</v>
      </c>
    </row>
    <row r="897" spans="28:33" x14ac:dyDescent="0.3">
      <c r="AB897" s="3">
        <v>0.91319444444444298</v>
      </c>
      <c r="AC897" s="3" t="str">
        <f t="shared" si="40"/>
        <v>21:55</v>
      </c>
      <c r="AD897" s="3">
        <f t="shared" si="41"/>
        <v>0.91319444444444453</v>
      </c>
      <c r="AE897" s="1">
        <v>90</v>
      </c>
      <c r="AF897" s="1">
        <v>10</v>
      </c>
      <c r="AG897" s="1">
        <v>5</v>
      </c>
    </row>
    <row r="898" spans="28:33" x14ac:dyDescent="0.3">
      <c r="AB898" s="3">
        <v>0.91388888888888697</v>
      </c>
      <c r="AC898" s="3" t="str">
        <f t="shared" si="40"/>
        <v>21:56</v>
      </c>
      <c r="AD898" s="3">
        <f t="shared" si="41"/>
        <v>0.91388888888888886</v>
      </c>
      <c r="AE898" s="1">
        <v>90</v>
      </c>
      <c r="AF898" s="1">
        <v>10</v>
      </c>
      <c r="AG898" s="1">
        <v>6</v>
      </c>
    </row>
    <row r="899" spans="28:33" x14ac:dyDescent="0.3">
      <c r="AB899" s="3">
        <v>0.91458333333333097</v>
      </c>
      <c r="AC899" s="3" t="str">
        <f t="shared" ref="AC899:AC962" si="42">TEXT(AB899,"hh:mm")</f>
        <v>21:57</v>
      </c>
      <c r="AD899" s="3">
        <f t="shared" ref="AD899:AD962" si="43">VALUE(AC899)</f>
        <v>0.9145833333333333</v>
      </c>
      <c r="AE899" s="1">
        <v>90</v>
      </c>
      <c r="AF899" s="1">
        <v>10</v>
      </c>
      <c r="AG899" s="1">
        <v>7</v>
      </c>
    </row>
    <row r="900" spans="28:33" x14ac:dyDescent="0.3">
      <c r="AB900" s="3">
        <v>0.91527777777777597</v>
      </c>
      <c r="AC900" s="3" t="str">
        <f t="shared" si="42"/>
        <v>21:58</v>
      </c>
      <c r="AD900" s="3">
        <f t="shared" si="43"/>
        <v>0.91527777777777775</v>
      </c>
      <c r="AE900" s="1">
        <v>90</v>
      </c>
      <c r="AF900" s="1">
        <v>10</v>
      </c>
      <c r="AG900" s="1">
        <v>8</v>
      </c>
    </row>
    <row r="901" spans="28:33" x14ac:dyDescent="0.3">
      <c r="AB901" s="3">
        <v>0.91597222222221997</v>
      </c>
      <c r="AC901" s="3" t="str">
        <f t="shared" si="42"/>
        <v>21:59</v>
      </c>
      <c r="AD901" s="3">
        <f t="shared" si="43"/>
        <v>0.9159722222222223</v>
      </c>
      <c r="AE901" s="1">
        <v>90</v>
      </c>
      <c r="AF901" s="1">
        <v>10</v>
      </c>
      <c r="AG901" s="1">
        <v>9</v>
      </c>
    </row>
    <row r="902" spans="28:33" x14ac:dyDescent="0.3">
      <c r="AB902" s="3">
        <v>0.91666666666666496</v>
      </c>
      <c r="AC902" s="3" t="str">
        <f t="shared" si="42"/>
        <v>22:00</v>
      </c>
      <c r="AD902" s="3">
        <f t="shared" si="43"/>
        <v>0.91666666666666663</v>
      </c>
      <c r="AE902" s="1">
        <v>91</v>
      </c>
      <c r="AF902" s="1">
        <v>10</v>
      </c>
      <c r="AG902" s="1">
        <v>0</v>
      </c>
    </row>
    <row r="903" spans="28:33" x14ac:dyDescent="0.3">
      <c r="AB903" s="3">
        <v>0.91736111111110896</v>
      </c>
      <c r="AC903" s="3" t="str">
        <f t="shared" si="42"/>
        <v>22:01</v>
      </c>
      <c r="AD903" s="3">
        <f t="shared" si="43"/>
        <v>0.91736111111111107</v>
      </c>
      <c r="AE903" s="1">
        <v>91</v>
      </c>
      <c r="AF903" s="1">
        <v>10</v>
      </c>
      <c r="AG903" s="1">
        <v>1</v>
      </c>
    </row>
    <row r="904" spans="28:33" x14ac:dyDescent="0.3">
      <c r="AB904" s="3">
        <v>0.91805555555555396</v>
      </c>
      <c r="AC904" s="3" t="str">
        <f t="shared" si="42"/>
        <v>22:02</v>
      </c>
      <c r="AD904" s="3">
        <f t="shared" si="43"/>
        <v>0.91805555555555562</v>
      </c>
      <c r="AE904" s="1">
        <v>91</v>
      </c>
      <c r="AF904" s="1">
        <v>10</v>
      </c>
      <c r="AG904" s="1">
        <v>2</v>
      </c>
    </row>
    <row r="905" spans="28:33" x14ac:dyDescent="0.3">
      <c r="AB905" s="3">
        <v>0.91874999999999796</v>
      </c>
      <c r="AC905" s="3" t="str">
        <f t="shared" si="42"/>
        <v>22:03</v>
      </c>
      <c r="AD905" s="3">
        <f t="shared" si="43"/>
        <v>0.91875000000000007</v>
      </c>
      <c r="AE905" s="1">
        <v>91</v>
      </c>
      <c r="AF905" s="1">
        <v>10</v>
      </c>
      <c r="AG905" s="1">
        <v>3</v>
      </c>
    </row>
    <row r="906" spans="28:33" x14ac:dyDescent="0.3">
      <c r="AB906" s="3">
        <v>0.91944444444444295</v>
      </c>
      <c r="AC906" s="3" t="str">
        <f t="shared" si="42"/>
        <v>22:04</v>
      </c>
      <c r="AD906" s="3">
        <f t="shared" si="43"/>
        <v>0.9194444444444444</v>
      </c>
      <c r="AE906" s="1">
        <v>91</v>
      </c>
      <c r="AF906" s="1">
        <v>10</v>
      </c>
      <c r="AG906" s="1">
        <v>4</v>
      </c>
    </row>
    <row r="907" spans="28:33" x14ac:dyDescent="0.3">
      <c r="AB907" s="3">
        <v>0.92013888888888695</v>
      </c>
      <c r="AC907" s="3" t="str">
        <f t="shared" si="42"/>
        <v>22:05</v>
      </c>
      <c r="AD907" s="3">
        <f t="shared" si="43"/>
        <v>0.92013888888888884</v>
      </c>
      <c r="AE907" s="1">
        <v>91</v>
      </c>
      <c r="AF907" s="1">
        <v>10</v>
      </c>
      <c r="AG907" s="1">
        <v>5</v>
      </c>
    </row>
    <row r="908" spans="28:33" x14ac:dyDescent="0.3">
      <c r="AB908" s="3">
        <v>0.92083333333333095</v>
      </c>
      <c r="AC908" s="3" t="str">
        <f t="shared" si="42"/>
        <v>22:06</v>
      </c>
      <c r="AD908" s="3">
        <f t="shared" si="43"/>
        <v>0.92083333333333339</v>
      </c>
      <c r="AE908" s="1">
        <v>91</v>
      </c>
      <c r="AF908" s="1">
        <v>10</v>
      </c>
      <c r="AG908" s="1">
        <v>6</v>
      </c>
    </row>
    <row r="909" spans="28:33" x14ac:dyDescent="0.3">
      <c r="AB909" s="3">
        <v>0.92152777777777595</v>
      </c>
      <c r="AC909" s="3" t="str">
        <f t="shared" si="42"/>
        <v>22:07</v>
      </c>
      <c r="AD909" s="3">
        <f t="shared" si="43"/>
        <v>0.92152777777777783</v>
      </c>
      <c r="AE909" s="1">
        <v>91</v>
      </c>
      <c r="AF909" s="1">
        <v>10</v>
      </c>
      <c r="AG909" s="1">
        <v>7</v>
      </c>
    </row>
    <row r="910" spans="28:33" x14ac:dyDescent="0.3">
      <c r="AB910" s="3">
        <v>0.92222222222221995</v>
      </c>
      <c r="AC910" s="3" t="str">
        <f t="shared" si="42"/>
        <v>22:08</v>
      </c>
      <c r="AD910" s="3">
        <f t="shared" si="43"/>
        <v>0.92222222222222217</v>
      </c>
      <c r="AE910" s="1">
        <v>91</v>
      </c>
      <c r="AF910" s="1">
        <v>10</v>
      </c>
      <c r="AG910" s="1">
        <v>8</v>
      </c>
    </row>
    <row r="911" spans="28:33" x14ac:dyDescent="0.3">
      <c r="AB911" s="3">
        <v>0.92291666666666505</v>
      </c>
      <c r="AC911" s="3" t="str">
        <f t="shared" si="42"/>
        <v>22:09</v>
      </c>
      <c r="AD911" s="3">
        <f t="shared" si="43"/>
        <v>0.92291666666666661</v>
      </c>
      <c r="AE911" s="1">
        <v>91</v>
      </c>
      <c r="AF911" s="1">
        <v>10</v>
      </c>
      <c r="AG911" s="1">
        <v>9</v>
      </c>
    </row>
    <row r="912" spans="28:33" x14ac:dyDescent="0.3">
      <c r="AB912" s="3">
        <v>0.92361111111110905</v>
      </c>
      <c r="AC912" s="3" t="str">
        <f t="shared" si="42"/>
        <v>22:10</v>
      </c>
      <c r="AD912" s="3">
        <f t="shared" si="43"/>
        <v>0.92361111111111116</v>
      </c>
      <c r="AE912" s="1">
        <v>92</v>
      </c>
      <c r="AF912" s="1">
        <v>10</v>
      </c>
      <c r="AG912" s="1">
        <v>0</v>
      </c>
    </row>
    <row r="913" spans="28:33" x14ac:dyDescent="0.3">
      <c r="AB913" s="3">
        <v>0.92430555555555405</v>
      </c>
      <c r="AC913" s="3" t="str">
        <f t="shared" si="42"/>
        <v>22:11</v>
      </c>
      <c r="AD913" s="3">
        <f t="shared" si="43"/>
        <v>0.9243055555555556</v>
      </c>
      <c r="AE913" s="1">
        <v>92</v>
      </c>
      <c r="AF913" s="1">
        <v>10</v>
      </c>
      <c r="AG913" s="1">
        <v>1</v>
      </c>
    </row>
    <row r="914" spans="28:33" x14ac:dyDescent="0.3">
      <c r="AB914" s="3">
        <v>0.92499999999999805</v>
      </c>
      <c r="AC914" s="3" t="str">
        <f t="shared" si="42"/>
        <v>22:12</v>
      </c>
      <c r="AD914" s="3">
        <f t="shared" si="43"/>
        <v>0.92499999999999993</v>
      </c>
      <c r="AE914" s="1">
        <v>92</v>
      </c>
      <c r="AF914" s="1">
        <v>10</v>
      </c>
      <c r="AG914" s="1">
        <v>2</v>
      </c>
    </row>
    <row r="915" spans="28:33" x14ac:dyDescent="0.3">
      <c r="AB915" s="3">
        <v>0.92569444444444304</v>
      </c>
      <c r="AC915" s="3" t="str">
        <f t="shared" si="42"/>
        <v>22:13</v>
      </c>
      <c r="AD915" s="3">
        <f t="shared" si="43"/>
        <v>0.92569444444444438</v>
      </c>
      <c r="AE915" s="1">
        <v>92</v>
      </c>
      <c r="AF915" s="1">
        <v>10</v>
      </c>
      <c r="AG915" s="1">
        <v>3</v>
      </c>
    </row>
    <row r="916" spans="28:33" x14ac:dyDescent="0.3">
      <c r="AB916" s="3">
        <v>0.92638888888888704</v>
      </c>
      <c r="AC916" s="3" t="str">
        <f t="shared" si="42"/>
        <v>22:14</v>
      </c>
      <c r="AD916" s="3">
        <f t="shared" si="43"/>
        <v>0.92638888888888893</v>
      </c>
      <c r="AE916" s="1">
        <v>92</v>
      </c>
      <c r="AF916" s="1">
        <v>10</v>
      </c>
      <c r="AG916" s="1">
        <v>4</v>
      </c>
    </row>
    <row r="917" spans="28:33" x14ac:dyDescent="0.3">
      <c r="AB917" s="3">
        <v>0.92708333333333104</v>
      </c>
      <c r="AC917" s="3" t="str">
        <f t="shared" si="42"/>
        <v>22:15</v>
      </c>
      <c r="AD917" s="3">
        <f t="shared" si="43"/>
        <v>0.92708333333333337</v>
      </c>
      <c r="AE917" s="1">
        <v>92</v>
      </c>
      <c r="AF917" s="1">
        <v>10</v>
      </c>
      <c r="AG917" s="1">
        <v>5</v>
      </c>
    </row>
    <row r="918" spans="28:33" x14ac:dyDescent="0.3">
      <c r="AB918" s="3">
        <v>0.92777777777777604</v>
      </c>
      <c r="AC918" s="3" t="str">
        <f t="shared" si="42"/>
        <v>22:16</v>
      </c>
      <c r="AD918" s="3">
        <f t="shared" si="43"/>
        <v>0.9277777777777777</v>
      </c>
      <c r="AE918" s="1">
        <v>92</v>
      </c>
      <c r="AF918" s="1">
        <v>10</v>
      </c>
      <c r="AG918" s="1">
        <v>6</v>
      </c>
    </row>
    <row r="919" spans="28:33" x14ac:dyDescent="0.3">
      <c r="AB919" s="3">
        <v>0.92847222222222003</v>
      </c>
      <c r="AC919" s="3" t="str">
        <f t="shared" si="42"/>
        <v>22:17</v>
      </c>
      <c r="AD919" s="3">
        <f t="shared" si="43"/>
        <v>0.92847222222222225</v>
      </c>
      <c r="AE919" s="1">
        <v>92</v>
      </c>
      <c r="AF919" s="1">
        <v>10</v>
      </c>
      <c r="AG919" s="1">
        <v>7</v>
      </c>
    </row>
    <row r="920" spans="28:33" x14ac:dyDescent="0.3">
      <c r="AB920" s="3">
        <v>0.92916666666666503</v>
      </c>
      <c r="AC920" s="3" t="str">
        <f t="shared" si="42"/>
        <v>22:18</v>
      </c>
      <c r="AD920" s="3">
        <f t="shared" si="43"/>
        <v>0.9291666666666667</v>
      </c>
      <c r="AE920" s="1">
        <v>92</v>
      </c>
      <c r="AF920" s="1">
        <v>10</v>
      </c>
      <c r="AG920" s="1">
        <v>8</v>
      </c>
    </row>
    <row r="921" spans="28:33" x14ac:dyDescent="0.3">
      <c r="AB921" s="3">
        <v>0.92986111111110903</v>
      </c>
      <c r="AC921" s="3" t="str">
        <f t="shared" si="42"/>
        <v>22:19</v>
      </c>
      <c r="AD921" s="3">
        <f t="shared" si="43"/>
        <v>0.92986111111111114</v>
      </c>
      <c r="AE921" s="1">
        <v>92</v>
      </c>
      <c r="AF921" s="1">
        <v>10</v>
      </c>
      <c r="AG921" s="1">
        <v>9</v>
      </c>
    </row>
    <row r="922" spans="28:33" x14ac:dyDescent="0.3">
      <c r="AB922" s="3">
        <v>0.93055555555555403</v>
      </c>
      <c r="AC922" s="3" t="str">
        <f t="shared" si="42"/>
        <v>22:20</v>
      </c>
      <c r="AD922" s="3">
        <f t="shared" si="43"/>
        <v>0.93055555555555547</v>
      </c>
      <c r="AE922" s="1">
        <v>93</v>
      </c>
      <c r="AF922" s="1">
        <v>10</v>
      </c>
      <c r="AG922" s="1">
        <v>0</v>
      </c>
    </row>
    <row r="923" spans="28:33" x14ac:dyDescent="0.3">
      <c r="AB923" s="3">
        <v>0.93124999999999802</v>
      </c>
      <c r="AC923" s="3" t="str">
        <f t="shared" si="42"/>
        <v>22:21</v>
      </c>
      <c r="AD923" s="3">
        <f t="shared" si="43"/>
        <v>0.93125000000000002</v>
      </c>
      <c r="AE923" s="1">
        <v>93</v>
      </c>
      <c r="AF923" s="1">
        <v>10</v>
      </c>
      <c r="AG923" s="1">
        <v>1</v>
      </c>
    </row>
    <row r="924" spans="28:33" x14ac:dyDescent="0.3">
      <c r="AB924" s="3">
        <v>0.93194444444444302</v>
      </c>
      <c r="AC924" s="3" t="str">
        <f t="shared" si="42"/>
        <v>22:22</v>
      </c>
      <c r="AD924" s="3">
        <f t="shared" si="43"/>
        <v>0.93194444444444446</v>
      </c>
      <c r="AE924" s="1">
        <v>93</v>
      </c>
      <c r="AF924" s="1">
        <v>10</v>
      </c>
      <c r="AG924" s="1">
        <v>2</v>
      </c>
    </row>
    <row r="925" spans="28:33" x14ac:dyDescent="0.3">
      <c r="AB925" s="3">
        <v>0.93263888888888702</v>
      </c>
      <c r="AC925" s="3" t="str">
        <f t="shared" si="42"/>
        <v>22:23</v>
      </c>
      <c r="AD925" s="3">
        <f t="shared" si="43"/>
        <v>0.93263888888888891</v>
      </c>
      <c r="AE925" s="1">
        <v>93</v>
      </c>
      <c r="AF925" s="1">
        <v>10</v>
      </c>
      <c r="AG925" s="1">
        <v>3</v>
      </c>
    </row>
    <row r="926" spans="28:33" x14ac:dyDescent="0.3">
      <c r="AB926" s="3">
        <v>0.93333333333333102</v>
      </c>
      <c r="AC926" s="3" t="str">
        <f t="shared" si="42"/>
        <v>22:24</v>
      </c>
      <c r="AD926" s="3">
        <f t="shared" si="43"/>
        <v>0.93333333333333324</v>
      </c>
      <c r="AE926" s="1">
        <v>93</v>
      </c>
      <c r="AF926" s="1">
        <v>10</v>
      </c>
      <c r="AG926" s="1">
        <v>4</v>
      </c>
    </row>
    <row r="927" spans="28:33" x14ac:dyDescent="0.3">
      <c r="AB927" s="3">
        <v>0.93402777777777601</v>
      </c>
      <c r="AC927" s="3" t="str">
        <f t="shared" si="42"/>
        <v>22:25</v>
      </c>
      <c r="AD927" s="3">
        <f t="shared" si="43"/>
        <v>0.93402777777777779</v>
      </c>
      <c r="AE927" s="1">
        <v>93</v>
      </c>
      <c r="AF927" s="1">
        <v>10</v>
      </c>
      <c r="AG927" s="1">
        <v>5</v>
      </c>
    </row>
    <row r="928" spans="28:33" x14ac:dyDescent="0.3">
      <c r="AB928" s="3">
        <v>0.93472222222222001</v>
      </c>
      <c r="AC928" s="3" t="str">
        <f t="shared" si="42"/>
        <v>22:26</v>
      </c>
      <c r="AD928" s="3">
        <f t="shared" si="43"/>
        <v>0.93472222222222223</v>
      </c>
      <c r="AE928" s="1">
        <v>93</v>
      </c>
      <c r="AF928" s="1">
        <v>10</v>
      </c>
      <c r="AG928" s="1">
        <v>6</v>
      </c>
    </row>
    <row r="929" spans="28:33" x14ac:dyDescent="0.3">
      <c r="AB929" s="3">
        <v>0.93541666666666501</v>
      </c>
      <c r="AC929" s="3" t="str">
        <f t="shared" si="42"/>
        <v>22:27</v>
      </c>
      <c r="AD929" s="3">
        <f t="shared" si="43"/>
        <v>0.93541666666666667</v>
      </c>
      <c r="AE929" s="1">
        <v>93</v>
      </c>
      <c r="AF929" s="1">
        <v>10</v>
      </c>
      <c r="AG929" s="1">
        <v>7</v>
      </c>
    </row>
    <row r="930" spans="28:33" x14ac:dyDescent="0.3">
      <c r="AB930" s="3">
        <v>0.93611111111110901</v>
      </c>
      <c r="AC930" s="3" t="str">
        <f t="shared" si="42"/>
        <v>22:28</v>
      </c>
      <c r="AD930" s="3">
        <f t="shared" si="43"/>
        <v>0.93611111111111101</v>
      </c>
      <c r="AE930" s="1">
        <v>93</v>
      </c>
      <c r="AF930" s="1">
        <v>10</v>
      </c>
      <c r="AG930" s="1">
        <v>8</v>
      </c>
    </row>
    <row r="931" spans="28:33" x14ac:dyDescent="0.3">
      <c r="AB931" s="3">
        <v>0.936805555555554</v>
      </c>
      <c r="AC931" s="3" t="str">
        <f t="shared" si="42"/>
        <v>22:29</v>
      </c>
      <c r="AD931" s="3">
        <f t="shared" si="43"/>
        <v>0.93680555555555556</v>
      </c>
      <c r="AE931" s="1">
        <v>93</v>
      </c>
      <c r="AF931" s="1">
        <v>10</v>
      </c>
      <c r="AG931" s="1">
        <v>9</v>
      </c>
    </row>
    <row r="932" spans="28:33" x14ac:dyDescent="0.3">
      <c r="AB932" s="3">
        <v>0.937499999999998</v>
      </c>
      <c r="AC932" s="3" t="str">
        <f t="shared" si="42"/>
        <v>22:30</v>
      </c>
      <c r="AD932" s="3">
        <f t="shared" si="43"/>
        <v>0.9375</v>
      </c>
      <c r="AE932" s="1">
        <v>94</v>
      </c>
      <c r="AF932" s="1">
        <v>10</v>
      </c>
      <c r="AG932" s="1">
        <v>0</v>
      </c>
    </row>
    <row r="933" spans="28:33" x14ac:dyDescent="0.3">
      <c r="AB933" s="3">
        <v>0.938194444444442</v>
      </c>
      <c r="AC933" s="3" t="str">
        <f t="shared" si="42"/>
        <v>22:31</v>
      </c>
      <c r="AD933" s="3">
        <f t="shared" si="43"/>
        <v>0.93819444444444444</v>
      </c>
      <c r="AE933" s="1">
        <v>94</v>
      </c>
      <c r="AF933" s="1">
        <v>10</v>
      </c>
      <c r="AG933" s="1">
        <v>1</v>
      </c>
    </row>
    <row r="934" spans="28:33" x14ac:dyDescent="0.3">
      <c r="AB934" s="3">
        <v>0.938888888888887</v>
      </c>
      <c r="AC934" s="3" t="str">
        <f t="shared" si="42"/>
        <v>22:32</v>
      </c>
      <c r="AD934" s="3">
        <f t="shared" si="43"/>
        <v>0.93888888888888899</v>
      </c>
      <c r="AE934" s="1">
        <v>94</v>
      </c>
      <c r="AF934" s="1">
        <v>10</v>
      </c>
      <c r="AG934" s="1">
        <v>2</v>
      </c>
    </row>
    <row r="935" spans="28:33" x14ac:dyDescent="0.3">
      <c r="AB935" s="3">
        <v>0.93958333333333099</v>
      </c>
      <c r="AC935" s="3" t="str">
        <f t="shared" si="42"/>
        <v>22:33</v>
      </c>
      <c r="AD935" s="3">
        <f t="shared" si="43"/>
        <v>0.93958333333333333</v>
      </c>
      <c r="AE935" s="1">
        <v>94</v>
      </c>
      <c r="AF935" s="1">
        <v>10</v>
      </c>
      <c r="AG935" s="1">
        <v>3</v>
      </c>
    </row>
    <row r="936" spans="28:33" x14ac:dyDescent="0.3">
      <c r="AB936" s="3">
        <v>0.94027777777777599</v>
      </c>
      <c r="AC936" s="3" t="str">
        <f t="shared" si="42"/>
        <v>22:34</v>
      </c>
      <c r="AD936" s="3">
        <f t="shared" si="43"/>
        <v>0.94027777777777777</v>
      </c>
      <c r="AE936" s="1">
        <v>94</v>
      </c>
      <c r="AF936" s="1">
        <v>10</v>
      </c>
      <c r="AG936" s="1">
        <v>4</v>
      </c>
    </row>
    <row r="937" spans="28:33" x14ac:dyDescent="0.3">
      <c r="AB937" s="3">
        <v>0.94097222222221999</v>
      </c>
      <c r="AC937" s="3" t="str">
        <f t="shared" si="42"/>
        <v>22:35</v>
      </c>
      <c r="AD937" s="3">
        <f t="shared" si="43"/>
        <v>0.94097222222222221</v>
      </c>
      <c r="AE937" s="1">
        <v>94</v>
      </c>
      <c r="AF937" s="1">
        <v>10</v>
      </c>
      <c r="AG937" s="1">
        <v>5</v>
      </c>
    </row>
    <row r="938" spans="28:33" x14ac:dyDescent="0.3">
      <c r="AB938" s="3">
        <v>0.94166666666666499</v>
      </c>
      <c r="AC938" s="3" t="str">
        <f t="shared" si="42"/>
        <v>22:36</v>
      </c>
      <c r="AD938" s="3">
        <f t="shared" si="43"/>
        <v>0.94166666666666676</v>
      </c>
      <c r="AE938" s="1">
        <v>94</v>
      </c>
      <c r="AF938" s="1">
        <v>10</v>
      </c>
      <c r="AG938" s="1">
        <v>6</v>
      </c>
    </row>
    <row r="939" spans="28:33" x14ac:dyDescent="0.3">
      <c r="AB939" s="3">
        <v>0.94236111111110898</v>
      </c>
      <c r="AC939" s="3" t="str">
        <f t="shared" si="42"/>
        <v>22:37</v>
      </c>
      <c r="AD939" s="3">
        <f t="shared" si="43"/>
        <v>0.94236111111111109</v>
      </c>
      <c r="AE939" s="1">
        <v>94</v>
      </c>
      <c r="AF939" s="1">
        <v>10</v>
      </c>
      <c r="AG939" s="1">
        <v>7</v>
      </c>
    </row>
    <row r="940" spans="28:33" x14ac:dyDescent="0.3">
      <c r="AB940" s="3">
        <v>0.94305555555555398</v>
      </c>
      <c r="AC940" s="3" t="str">
        <f t="shared" si="42"/>
        <v>22:38</v>
      </c>
      <c r="AD940" s="3">
        <f t="shared" si="43"/>
        <v>0.94305555555555554</v>
      </c>
      <c r="AE940" s="1">
        <v>94</v>
      </c>
      <c r="AF940" s="1">
        <v>10</v>
      </c>
      <c r="AG940" s="1">
        <v>8</v>
      </c>
    </row>
    <row r="941" spans="28:33" x14ac:dyDescent="0.3">
      <c r="AB941" s="3">
        <v>0.94374999999999798</v>
      </c>
      <c r="AC941" s="3" t="str">
        <f t="shared" si="42"/>
        <v>22:39</v>
      </c>
      <c r="AD941" s="3">
        <f t="shared" si="43"/>
        <v>0.94374999999999998</v>
      </c>
      <c r="AE941" s="1">
        <v>94</v>
      </c>
      <c r="AF941" s="1">
        <v>10</v>
      </c>
      <c r="AG941" s="1">
        <v>9</v>
      </c>
    </row>
    <row r="942" spans="28:33" x14ac:dyDescent="0.3">
      <c r="AB942" s="3">
        <v>0.94444444444444198</v>
      </c>
      <c r="AC942" s="3" t="str">
        <f t="shared" si="42"/>
        <v>22:40</v>
      </c>
      <c r="AD942" s="3">
        <f t="shared" si="43"/>
        <v>0.94444444444444453</v>
      </c>
      <c r="AE942" s="1">
        <v>95</v>
      </c>
      <c r="AF942" s="1">
        <v>10</v>
      </c>
      <c r="AG942" s="1">
        <v>0</v>
      </c>
    </row>
    <row r="943" spans="28:33" x14ac:dyDescent="0.3">
      <c r="AB943" s="3">
        <v>0.94513888888888697</v>
      </c>
      <c r="AC943" s="3" t="str">
        <f t="shared" si="42"/>
        <v>22:41</v>
      </c>
      <c r="AD943" s="3">
        <f t="shared" si="43"/>
        <v>0.94513888888888886</v>
      </c>
      <c r="AE943" s="1">
        <v>95</v>
      </c>
      <c r="AF943" s="1">
        <v>10</v>
      </c>
      <c r="AG943" s="1">
        <v>1</v>
      </c>
    </row>
    <row r="944" spans="28:33" x14ac:dyDescent="0.3">
      <c r="AB944" s="3">
        <v>0.94583333333333097</v>
      </c>
      <c r="AC944" s="3" t="str">
        <f t="shared" si="42"/>
        <v>22:42</v>
      </c>
      <c r="AD944" s="3">
        <f t="shared" si="43"/>
        <v>0.9458333333333333</v>
      </c>
      <c r="AE944" s="1">
        <v>95</v>
      </c>
      <c r="AF944" s="1">
        <v>10</v>
      </c>
      <c r="AG944" s="1">
        <v>2</v>
      </c>
    </row>
    <row r="945" spans="28:33" x14ac:dyDescent="0.3">
      <c r="AB945" s="3">
        <v>0.94652777777777597</v>
      </c>
      <c r="AC945" s="3" t="str">
        <f t="shared" si="42"/>
        <v>22:43</v>
      </c>
      <c r="AD945" s="3">
        <f t="shared" si="43"/>
        <v>0.94652777777777775</v>
      </c>
      <c r="AE945" s="1">
        <v>95</v>
      </c>
      <c r="AF945" s="1">
        <v>10</v>
      </c>
      <c r="AG945" s="1">
        <v>3</v>
      </c>
    </row>
    <row r="946" spans="28:33" x14ac:dyDescent="0.3">
      <c r="AB946" s="3">
        <v>0.94722222222221997</v>
      </c>
      <c r="AC946" s="3" t="str">
        <f t="shared" si="42"/>
        <v>22:44</v>
      </c>
      <c r="AD946" s="3">
        <f t="shared" si="43"/>
        <v>0.9472222222222223</v>
      </c>
      <c r="AE946" s="1">
        <v>95</v>
      </c>
      <c r="AF946" s="1">
        <v>10</v>
      </c>
      <c r="AG946" s="1">
        <v>4</v>
      </c>
    </row>
    <row r="947" spans="28:33" x14ac:dyDescent="0.3">
      <c r="AB947" s="3">
        <v>0.94791666666666496</v>
      </c>
      <c r="AC947" s="3" t="str">
        <f t="shared" si="42"/>
        <v>22:45</v>
      </c>
      <c r="AD947" s="3">
        <f t="shared" si="43"/>
        <v>0.94791666666666663</v>
      </c>
      <c r="AE947" s="1">
        <v>95</v>
      </c>
      <c r="AF947" s="1">
        <v>10</v>
      </c>
      <c r="AG947" s="1">
        <v>5</v>
      </c>
    </row>
    <row r="948" spans="28:33" x14ac:dyDescent="0.3">
      <c r="AB948" s="3">
        <v>0.94861111111110896</v>
      </c>
      <c r="AC948" s="3" t="str">
        <f t="shared" si="42"/>
        <v>22:46</v>
      </c>
      <c r="AD948" s="3">
        <f t="shared" si="43"/>
        <v>0.94861111111111107</v>
      </c>
      <c r="AE948" s="1">
        <v>95</v>
      </c>
      <c r="AF948" s="1">
        <v>10</v>
      </c>
      <c r="AG948" s="1">
        <v>6</v>
      </c>
    </row>
    <row r="949" spans="28:33" x14ac:dyDescent="0.3">
      <c r="AB949" s="3">
        <v>0.94930555555555396</v>
      </c>
      <c r="AC949" s="3" t="str">
        <f t="shared" si="42"/>
        <v>22:47</v>
      </c>
      <c r="AD949" s="3">
        <f t="shared" si="43"/>
        <v>0.94930555555555562</v>
      </c>
      <c r="AE949" s="1">
        <v>95</v>
      </c>
      <c r="AF949" s="1">
        <v>10</v>
      </c>
      <c r="AG949" s="1">
        <v>7</v>
      </c>
    </row>
    <row r="950" spans="28:33" x14ac:dyDescent="0.3">
      <c r="AB950" s="3">
        <v>0.94999999999999796</v>
      </c>
      <c r="AC950" s="3" t="str">
        <f t="shared" si="42"/>
        <v>22:48</v>
      </c>
      <c r="AD950" s="3">
        <f t="shared" si="43"/>
        <v>0.95000000000000007</v>
      </c>
      <c r="AE950" s="1">
        <v>95</v>
      </c>
      <c r="AF950" s="1">
        <v>10</v>
      </c>
      <c r="AG950" s="1">
        <v>8</v>
      </c>
    </row>
    <row r="951" spans="28:33" x14ac:dyDescent="0.3">
      <c r="AB951" s="3">
        <v>0.95069444444444196</v>
      </c>
      <c r="AC951" s="3" t="str">
        <f t="shared" si="42"/>
        <v>22:49</v>
      </c>
      <c r="AD951" s="3">
        <f t="shared" si="43"/>
        <v>0.9506944444444444</v>
      </c>
      <c r="AE951" s="1">
        <v>95</v>
      </c>
      <c r="AF951" s="1">
        <v>10</v>
      </c>
      <c r="AG951" s="1">
        <v>9</v>
      </c>
    </row>
    <row r="952" spans="28:33" x14ac:dyDescent="0.3">
      <c r="AB952" s="3">
        <v>0.95138888888888695</v>
      </c>
      <c r="AC952" s="3" t="str">
        <f t="shared" si="42"/>
        <v>22:50</v>
      </c>
      <c r="AD952" s="3">
        <f t="shared" si="43"/>
        <v>0.95138888888888884</v>
      </c>
      <c r="AE952" s="1">
        <v>96</v>
      </c>
      <c r="AF952" s="1">
        <v>10</v>
      </c>
      <c r="AG952" s="1">
        <v>0</v>
      </c>
    </row>
    <row r="953" spans="28:33" x14ac:dyDescent="0.3">
      <c r="AB953" s="3">
        <v>0.95208333333333095</v>
      </c>
      <c r="AC953" s="3" t="str">
        <f t="shared" si="42"/>
        <v>22:51</v>
      </c>
      <c r="AD953" s="3">
        <f t="shared" si="43"/>
        <v>0.95208333333333339</v>
      </c>
      <c r="AE953" s="1">
        <v>96</v>
      </c>
      <c r="AF953" s="1">
        <v>10</v>
      </c>
      <c r="AG953" s="1">
        <v>1</v>
      </c>
    </row>
    <row r="954" spans="28:33" x14ac:dyDescent="0.3">
      <c r="AB954" s="3">
        <v>0.95277777777777595</v>
      </c>
      <c r="AC954" s="3" t="str">
        <f t="shared" si="42"/>
        <v>22:52</v>
      </c>
      <c r="AD954" s="3">
        <f t="shared" si="43"/>
        <v>0.95277777777777783</v>
      </c>
      <c r="AE954" s="1">
        <v>96</v>
      </c>
      <c r="AF954" s="1">
        <v>10</v>
      </c>
      <c r="AG954" s="1">
        <v>2</v>
      </c>
    </row>
    <row r="955" spans="28:33" x14ac:dyDescent="0.3">
      <c r="AB955" s="3">
        <v>0.95347222222221995</v>
      </c>
      <c r="AC955" s="3" t="str">
        <f t="shared" si="42"/>
        <v>22:53</v>
      </c>
      <c r="AD955" s="3">
        <f t="shared" si="43"/>
        <v>0.95347222222222217</v>
      </c>
      <c r="AE955" s="1">
        <v>96</v>
      </c>
      <c r="AF955" s="1">
        <v>10</v>
      </c>
      <c r="AG955" s="1">
        <v>3</v>
      </c>
    </row>
    <row r="956" spans="28:33" x14ac:dyDescent="0.3">
      <c r="AB956" s="3">
        <v>0.95416666666666505</v>
      </c>
      <c r="AC956" s="3" t="str">
        <f t="shared" si="42"/>
        <v>22:54</v>
      </c>
      <c r="AD956" s="3">
        <f t="shared" si="43"/>
        <v>0.95416666666666661</v>
      </c>
      <c r="AE956" s="1">
        <v>96</v>
      </c>
      <c r="AF956" s="1">
        <v>10</v>
      </c>
      <c r="AG956" s="1">
        <v>4</v>
      </c>
    </row>
    <row r="957" spans="28:33" x14ac:dyDescent="0.3">
      <c r="AB957" s="3">
        <v>0.95486111111110905</v>
      </c>
      <c r="AC957" s="3" t="str">
        <f t="shared" si="42"/>
        <v>22:55</v>
      </c>
      <c r="AD957" s="3">
        <f t="shared" si="43"/>
        <v>0.95486111111111116</v>
      </c>
      <c r="AE957" s="1">
        <v>96</v>
      </c>
      <c r="AF957" s="1">
        <v>10</v>
      </c>
      <c r="AG957" s="1">
        <v>5</v>
      </c>
    </row>
    <row r="958" spans="28:33" x14ac:dyDescent="0.3">
      <c r="AB958" s="3">
        <v>0.95555555555555405</v>
      </c>
      <c r="AC958" s="3" t="str">
        <f t="shared" si="42"/>
        <v>22:56</v>
      </c>
      <c r="AD958" s="3">
        <f t="shared" si="43"/>
        <v>0.9555555555555556</v>
      </c>
      <c r="AE958" s="1">
        <v>96</v>
      </c>
      <c r="AF958" s="1">
        <v>10</v>
      </c>
      <c r="AG958" s="1">
        <v>6</v>
      </c>
    </row>
    <row r="959" spans="28:33" x14ac:dyDescent="0.3">
      <c r="AB959" s="3">
        <v>0.95624999999999805</v>
      </c>
      <c r="AC959" s="3" t="str">
        <f t="shared" si="42"/>
        <v>22:57</v>
      </c>
      <c r="AD959" s="3">
        <f t="shared" si="43"/>
        <v>0.95624999999999993</v>
      </c>
      <c r="AE959" s="1">
        <v>96</v>
      </c>
      <c r="AF959" s="1">
        <v>10</v>
      </c>
      <c r="AG959" s="1">
        <v>7</v>
      </c>
    </row>
    <row r="960" spans="28:33" x14ac:dyDescent="0.3">
      <c r="AB960" s="3">
        <v>0.95694444444444204</v>
      </c>
      <c r="AC960" s="3" t="str">
        <f t="shared" si="42"/>
        <v>22:58</v>
      </c>
      <c r="AD960" s="3">
        <f t="shared" si="43"/>
        <v>0.95694444444444438</v>
      </c>
      <c r="AE960" s="1">
        <v>96</v>
      </c>
      <c r="AF960" s="1">
        <v>10</v>
      </c>
      <c r="AG960" s="1">
        <v>8</v>
      </c>
    </row>
    <row r="961" spans="28:33" x14ac:dyDescent="0.3">
      <c r="AB961" s="3">
        <v>0.95763888888888704</v>
      </c>
      <c r="AC961" s="3" t="str">
        <f t="shared" si="42"/>
        <v>22:59</v>
      </c>
      <c r="AD961" s="3">
        <f t="shared" si="43"/>
        <v>0.95763888888888893</v>
      </c>
      <c r="AE961" s="1">
        <v>96</v>
      </c>
      <c r="AF961" s="1">
        <v>10</v>
      </c>
      <c r="AG961" s="1">
        <v>9</v>
      </c>
    </row>
    <row r="962" spans="28:33" x14ac:dyDescent="0.3">
      <c r="AB962" s="3">
        <v>0.95833333333333104</v>
      </c>
      <c r="AC962" s="3" t="str">
        <f t="shared" si="42"/>
        <v>23:00</v>
      </c>
      <c r="AD962" s="3">
        <f t="shared" si="43"/>
        <v>0.95833333333333337</v>
      </c>
      <c r="AE962" s="1">
        <v>97</v>
      </c>
      <c r="AF962" s="1">
        <v>10</v>
      </c>
      <c r="AG962" s="1">
        <v>0</v>
      </c>
    </row>
    <row r="963" spans="28:33" x14ac:dyDescent="0.3">
      <c r="AB963" s="3">
        <v>0.95902777777777604</v>
      </c>
      <c r="AC963" s="3" t="str">
        <f t="shared" ref="AC963:AC1026" si="44">TEXT(AB963,"hh:mm")</f>
        <v>23:01</v>
      </c>
      <c r="AD963" s="3">
        <f t="shared" ref="AD963:AD1026" si="45">VALUE(AC963)</f>
        <v>0.9590277777777777</v>
      </c>
      <c r="AE963" s="1">
        <v>97</v>
      </c>
      <c r="AF963" s="1">
        <v>10</v>
      </c>
      <c r="AG963" s="1">
        <v>1</v>
      </c>
    </row>
    <row r="964" spans="28:33" x14ac:dyDescent="0.3">
      <c r="AB964" s="3">
        <v>0.95972222222222003</v>
      </c>
      <c r="AC964" s="3" t="str">
        <f t="shared" si="44"/>
        <v>23:02</v>
      </c>
      <c r="AD964" s="3">
        <f t="shared" si="45"/>
        <v>0.95972222222222225</v>
      </c>
      <c r="AE964" s="1">
        <v>97</v>
      </c>
      <c r="AF964" s="1">
        <v>10</v>
      </c>
      <c r="AG964" s="1">
        <v>2</v>
      </c>
    </row>
    <row r="965" spans="28:33" x14ac:dyDescent="0.3">
      <c r="AB965" s="3">
        <v>0.96041666666666503</v>
      </c>
      <c r="AC965" s="3" t="str">
        <f t="shared" si="44"/>
        <v>23:03</v>
      </c>
      <c r="AD965" s="3">
        <f t="shared" si="45"/>
        <v>0.9604166666666667</v>
      </c>
      <c r="AE965" s="1">
        <v>97</v>
      </c>
      <c r="AF965" s="1">
        <v>10</v>
      </c>
      <c r="AG965" s="1">
        <v>3</v>
      </c>
    </row>
    <row r="966" spans="28:33" x14ac:dyDescent="0.3">
      <c r="AB966" s="3">
        <v>0.96111111111110903</v>
      </c>
      <c r="AC966" s="3" t="str">
        <f t="shared" si="44"/>
        <v>23:04</v>
      </c>
      <c r="AD966" s="3">
        <f t="shared" si="45"/>
        <v>0.96111111111111114</v>
      </c>
      <c r="AE966" s="1">
        <v>97</v>
      </c>
      <c r="AF966" s="1">
        <v>10</v>
      </c>
      <c r="AG966" s="1">
        <v>4</v>
      </c>
    </row>
    <row r="967" spans="28:33" x14ac:dyDescent="0.3">
      <c r="AB967" s="3">
        <v>0.96180555555555403</v>
      </c>
      <c r="AC967" s="3" t="str">
        <f t="shared" si="44"/>
        <v>23:05</v>
      </c>
      <c r="AD967" s="3">
        <f t="shared" si="45"/>
        <v>0.96180555555555547</v>
      </c>
      <c r="AE967" s="1">
        <v>97</v>
      </c>
      <c r="AF967" s="1">
        <v>10</v>
      </c>
      <c r="AG967" s="1">
        <v>5</v>
      </c>
    </row>
    <row r="968" spans="28:33" x14ac:dyDescent="0.3">
      <c r="AB968" s="3">
        <v>0.96249999999999802</v>
      </c>
      <c r="AC968" s="3" t="str">
        <f t="shared" si="44"/>
        <v>23:06</v>
      </c>
      <c r="AD968" s="3">
        <f t="shared" si="45"/>
        <v>0.96250000000000002</v>
      </c>
      <c r="AE968" s="1">
        <v>97</v>
      </c>
      <c r="AF968" s="1">
        <v>10</v>
      </c>
      <c r="AG968" s="1">
        <v>6</v>
      </c>
    </row>
    <row r="969" spans="28:33" x14ac:dyDescent="0.3">
      <c r="AB969" s="3">
        <v>0.96319444444444202</v>
      </c>
      <c r="AC969" s="3" t="str">
        <f t="shared" si="44"/>
        <v>23:07</v>
      </c>
      <c r="AD969" s="3">
        <f t="shared" si="45"/>
        <v>0.96319444444444446</v>
      </c>
      <c r="AE969" s="1">
        <v>97</v>
      </c>
      <c r="AF969" s="1">
        <v>10</v>
      </c>
      <c r="AG969" s="1">
        <v>7</v>
      </c>
    </row>
    <row r="970" spans="28:33" x14ac:dyDescent="0.3">
      <c r="AB970" s="3">
        <v>0.96388888888888702</v>
      </c>
      <c r="AC970" s="3" t="str">
        <f t="shared" si="44"/>
        <v>23:08</v>
      </c>
      <c r="AD970" s="3">
        <f t="shared" si="45"/>
        <v>0.96388888888888891</v>
      </c>
      <c r="AE970" s="1">
        <v>97</v>
      </c>
      <c r="AF970" s="1">
        <v>10</v>
      </c>
      <c r="AG970" s="1">
        <v>8</v>
      </c>
    </row>
    <row r="971" spans="28:33" x14ac:dyDescent="0.3">
      <c r="AB971" s="3">
        <v>0.96458333333333102</v>
      </c>
      <c r="AC971" s="3" t="str">
        <f t="shared" si="44"/>
        <v>23:09</v>
      </c>
      <c r="AD971" s="3">
        <f t="shared" si="45"/>
        <v>0.96458333333333324</v>
      </c>
      <c r="AE971" s="1">
        <v>97</v>
      </c>
      <c r="AF971" s="1">
        <v>10</v>
      </c>
      <c r="AG971" s="1">
        <v>9</v>
      </c>
    </row>
    <row r="972" spans="28:33" x14ac:dyDescent="0.3">
      <c r="AB972" s="3">
        <v>0.96527777777777601</v>
      </c>
      <c r="AC972" s="3" t="str">
        <f t="shared" si="44"/>
        <v>23:10</v>
      </c>
      <c r="AD972" s="3">
        <f t="shared" si="45"/>
        <v>0.96527777777777779</v>
      </c>
      <c r="AE972" s="1">
        <v>98</v>
      </c>
      <c r="AF972" s="1">
        <v>10</v>
      </c>
      <c r="AG972" s="1">
        <v>0</v>
      </c>
    </row>
    <row r="973" spans="28:33" x14ac:dyDescent="0.3">
      <c r="AB973" s="3">
        <v>0.96597222222222001</v>
      </c>
      <c r="AC973" s="3" t="str">
        <f t="shared" si="44"/>
        <v>23:11</v>
      </c>
      <c r="AD973" s="3">
        <f t="shared" si="45"/>
        <v>0.96597222222222223</v>
      </c>
      <c r="AE973" s="1">
        <v>98</v>
      </c>
      <c r="AF973" s="1">
        <v>10</v>
      </c>
      <c r="AG973" s="1">
        <v>1</v>
      </c>
    </row>
    <row r="974" spans="28:33" x14ac:dyDescent="0.3">
      <c r="AB974" s="3">
        <v>0.96666666666666501</v>
      </c>
      <c r="AC974" s="3" t="str">
        <f t="shared" si="44"/>
        <v>23:12</v>
      </c>
      <c r="AD974" s="3">
        <f t="shared" si="45"/>
        <v>0.96666666666666667</v>
      </c>
      <c r="AE974" s="1">
        <v>98</v>
      </c>
      <c r="AF974" s="1">
        <v>10</v>
      </c>
      <c r="AG974" s="1">
        <v>2</v>
      </c>
    </row>
    <row r="975" spans="28:33" x14ac:dyDescent="0.3">
      <c r="AB975" s="3">
        <v>0.96736111111110901</v>
      </c>
      <c r="AC975" s="3" t="str">
        <f t="shared" si="44"/>
        <v>23:13</v>
      </c>
      <c r="AD975" s="3">
        <f t="shared" si="45"/>
        <v>0.96736111111111101</v>
      </c>
      <c r="AE975" s="1">
        <v>98</v>
      </c>
      <c r="AF975" s="1">
        <v>10</v>
      </c>
      <c r="AG975" s="1">
        <v>3</v>
      </c>
    </row>
    <row r="976" spans="28:33" x14ac:dyDescent="0.3">
      <c r="AB976" s="3">
        <v>0.968055555555553</v>
      </c>
      <c r="AC976" s="3" t="str">
        <f t="shared" si="44"/>
        <v>23:14</v>
      </c>
      <c r="AD976" s="3">
        <f t="shared" si="45"/>
        <v>0.96805555555555556</v>
      </c>
      <c r="AE976" s="1">
        <v>98</v>
      </c>
      <c r="AF976" s="1">
        <v>10</v>
      </c>
      <c r="AG976" s="1">
        <v>4</v>
      </c>
    </row>
    <row r="977" spans="28:33" x14ac:dyDescent="0.3">
      <c r="AB977" s="3">
        <v>0.968749999999998</v>
      </c>
      <c r="AC977" s="3" t="str">
        <f t="shared" si="44"/>
        <v>23:15</v>
      </c>
      <c r="AD977" s="3">
        <f t="shared" si="45"/>
        <v>0.96875</v>
      </c>
      <c r="AE977" s="1">
        <v>98</v>
      </c>
      <c r="AF977" s="1">
        <v>10</v>
      </c>
      <c r="AG977" s="1">
        <v>5</v>
      </c>
    </row>
    <row r="978" spans="28:33" x14ac:dyDescent="0.3">
      <c r="AB978" s="3">
        <v>0.969444444444442</v>
      </c>
      <c r="AC978" s="3" t="str">
        <f t="shared" si="44"/>
        <v>23:16</v>
      </c>
      <c r="AD978" s="3">
        <f t="shared" si="45"/>
        <v>0.96944444444444444</v>
      </c>
      <c r="AE978" s="1">
        <v>98</v>
      </c>
      <c r="AF978" s="1">
        <v>10</v>
      </c>
      <c r="AG978" s="1">
        <v>6</v>
      </c>
    </row>
    <row r="979" spans="28:33" x14ac:dyDescent="0.3">
      <c r="AB979" s="3">
        <v>0.970138888888887</v>
      </c>
      <c r="AC979" s="3" t="str">
        <f t="shared" si="44"/>
        <v>23:17</v>
      </c>
      <c r="AD979" s="3">
        <f t="shared" si="45"/>
        <v>0.97013888888888899</v>
      </c>
      <c r="AE979" s="1">
        <v>98</v>
      </c>
      <c r="AF979" s="1">
        <v>10</v>
      </c>
      <c r="AG979" s="1">
        <v>7</v>
      </c>
    </row>
    <row r="980" spans="28:33" x14ac:dyDescent="0.3">
      <c r="AB980" s="3">
        <v>0.97083333333333099</v>
      </c>
      <c r="AC980" s="3" t="str">
        <f t="shared" si="44"/>
        <v>23:18</v>
      </c>
      <c r="AD980" s="3">
        <f t="shared" si="45"/>
        <v>0.97083333333333333</v>
      </c>
      <c r="AE980" s="1">
        <v>98</v>
      </c>
      <c r="AF980" s="1">
        <v>10</v>
      </c>
      <c r="AG980" s="1">
        <v>8</v>
      </c>
    </row>
    <row r="981" spans="28:33" x14ac:dyDescent="0.3">
      <c r="AB981" s="3">
        <v>0.97152777777777599</v>
      </c>
      <c r="AC981" s="3" t="str">
        <f t="shared" si="44"/>
        <v>23:19</v>
      </c>
      <c r="AD981" s="3">
        <f t="shared" si="45"/>
        <v>0.97152777777777777</v>
      </c>
      <c r="AE981" s="1">
        <v>98</v>
      </c>
      <c r="AF981" s="1">
        <v>10</v>
      </c>
      <c r="AG981" s="1">
        <v>9</v>
      </c>
    </row>
    <row r="982" spans="28:33" x14ac:dyDescent="0.3">
      <c r="AB982" s="3">
        <v>0.97222222222221999</v>
      </c>
      <c r="AC982" s="3" t="str">
        <f t="shared" si="44"/>
        <v>23:20</v>
      </c>
      <c r="AD982" s="3">
        <f t="shared" si="45"/>
        <v>0.97222222222222221</v>
      </c>
      <c r="AE982" s="1">
        <v>99</v>
      </c>
      <c r="AF982" s="1">
        <v>10</v>
      </c>
      <c r="AG982" s="1">
        <v>0</v>
      </c>
    </row>
    <row r="983" spans="28:33" x14ac:dyDescent="0.3">
      <c r="AB983" s="3">
        <v>0.97291666666666499</v>
      </c>
      <c r="AC983" s="3" t="str">
        <f t="shared" si="44"/>
        <v>23:21</v>
      </c>
      <c r="AD983" s="3">
        <f t="shared" si="45"/>
        <v>0.97291666666666676</v>
      </c>
      <c r="AE983" s="1">
        <v>99</v>
      </c>
      <c r="AF983" s="1">
        <v>10</v>
      </c>
      <c r="AG983" s="1">
        <v>1</v>
      </c>
    </row>
    <row r="984" spans="28:33" x14ac:dyDescent="0.3">
      <c r="AB984" s="3">
        <v>0.97361111111110898</v>
      </c>
      <c r="AC984" s="3" t="str">
        <f t="shared" si="44"/>
        <v>23:22</v>
      </c>
      <c r="AD984" s="3">
        <f t="shared" si="45"/>
        <v>0.97361111111111109</v>
      </c>
      <c r="AE984" s="1">
        <v>99</v>
      </c>
      <c r="AF984" s="1">
        <v>10</v>
      </c>
      <c r="AG984" s="1">
        <v>2</v>
      </c>
    </row>
    <row r="985" spans="28:33" x14ac:dyDescent="0.3">
      <c r="AB985" s="3">
        <v>0.97430555555555298</v>
      </c>
      <c r="AC985" s="3" t="str">
        <f t="shared" si="44"/>
        <v>23:23</v>
      </c>
      <c r="AD985" s="3">
        <f t="shared" si="45"/>
        <v>0.97430555555555554</v>
      </c>
      <c r="AE985" s="1">
        <v>99</v>
      </c>
      <c r="AF985" s="1">
        <v>10</v>
      </c>
      <c r="AG985" s="1">
        <v>3</v>
      </c>
    </row>
    <row r="986" spans="28:33" x14ac:dyDescent="0.3">
      <c r="AB986" s="3">
        <v>0.97499999999999798</v>
      </c>
      <c r="AC986" s="3" t="str">
        <f t="shared" si="44"/>
        <v>23:24</v>
      </c>
      <c r="AD986" s="3">
        <f t="shared" si="45"/>
        <v>0.97499999999999998</v>
      </c>
      <c r="AE986" s="1">
        <v>99</v>
      </c>
      <c r="AF986" s="1">
        <v>10</v>
      </c>
      <c r="AG986" s="1">
        <v>4</v>
      </c>
    </row>
    <row r="987" spans="28:33" x14ac:dyDescent="0.3">
      <c r="AB987" s="3">
        <v>0.97569444444444198</v>
      </c>
      <c r="AC987" s="3" t="str">
        <f t="shared" si="44"/>
        <v>23:25</v>
      </c>
      <c r="AD987" s="3">
        <f t="shared" si="45"/>
        <v>0.97569444444444453</v>
      </c>
      <c r="AE987" s="1">
        <v>99</v>
      </c>
      <c r="AF987" s="1">
        <v>10</v>
      </c>
      <c r="AG987" s="1">
        <v>5</v>
      </c>
    </row>
    <row r="988" spans="28:33" x14ac:dyDescent="0.3">
      <c r="AB988" s="3">
        <v>0.97638888888888697</v>
      </c>
      <c r="AC988" s="3" t="str">
        <f t="shared" si="44"/>
        <v>23:26</v>
      </c>
      <c r="AD988" s="3">
        <f t="shared" si="45"/>
        <v>0.97638888888888886</v>
      </c>
      <c r="AE988" s="1">
        <v>99</v>
      </c>
      <c r="AF988" s="1">
        <v>10</v>
      </c>
      <c r="AG988" s="1">
        <v>6</v>
      </c>
    </row>
    <row r="989" spans="28:33" x14ac:dyDescent="0.3">
      <c r="AB989" s="3">
        <v>0.97708333333333097</v>
      </c>
      <c r="AC989" s="3" t="str">
        <f t="shared" si="44"/>
        <v>23:27</v>
      </c>
      <c r="AD989" s="3">
        <f t="shared" si="45"/>
        <v>0.9770833333333333</v>
      </c>
      <c r="AE989" s="1">
        <v>99</v>
      </c>
      <c r="AF989" s="1">
        <v>10</v>
      </c>
      <c r="AG989" s="1">
        <v>7</v>
      </c>
    </row>
    <row r="990" spans="28:33" x14ac:dyDescent="0.3">
      <c r="AB990" s="3">
        <v>0.97777777777777597</v>
      </c>
      <c r="AC990" s="3" t="str">
        <f t="shared" si="44"/>
        <v>23:28</v>
      </c>
      <c r="AD990" s="3">
        <f t="shared" si="45"/>
        <v>0.97777777777777775</v>
      </c>
      <c r="AE990" s="1">
        <v>99</v>
      </c>
      <c r="AF990" s="1">
        <v>10</v>
      </c>
      <c r="AG990" s="1">
        <v>8</v>
      </c>
    </row>
    <row r="991" spans="28:33" x14ac:dyDescent="0.3">
      <c r="AB991" s="3">
        <v>0.97847222222221997</v>
      </c>
      <c r="AC991" s="3" t="str">
        <f t="shared" si="44"/>
        <v>23:29</v>
      </c>
      <c r="AD991" s="3">
        <f t="shared" si="45"/>
        <v>0.9784722222222223</v>
      </c>
      <c r="AE991" s="1">
        <v>99</v>
      </c>
      <c r="AF991" s="1">
        <v>10</v>
      </c>
      <c r="AG991" s="1">
        <v>9</v>
      </c>
    </row>
    <row r="992" spans="28:33" x14ac:dyDescent="0.3">
      <c r="AB992" s="3">
        <v>0.97916666666666496</v>
      </c>
      <c r="AC992" s="3" t="str">
        <f t="shared" si="44"/>
        <v>23:30</v>
      </c>
      <c r="AD992" s="3">
        <f t="shared" si="45"/>
        <v>0.97916666666666663</v>
      </c>
      <c r="AE992" s="1">
        <v>100</v>
      </c>
      <c r="AF992" s="1">
        <v>10</v>
      </c>
      <c r="AG992" s="1">
        <v>0</v>
      </c>
    </row>
    <row r="993" spans="28:33" x14ac:dyDescent="0.3">
      <c r="AB993" s="3">
        <v>0.97986111111110896</v>
      </c>
      <c r="AC993" s="3" t="str">
        <f t="shared" si="44"/>
        <v>23:31</v>
      </c>
      <c r="AD993" s="3">
        <f t="shared" si="45"/>
        <v>0.97986111111111107</v>
      </c>
      <c r="AE993" s="1">
        <v>100</v>
      </c>
      <c r="AF993" s="1">
        <v>10</v>
      </c>
      <c r="AG993" s="1">
        <v>1</v>
      </c>
    </row>
    <row r="994" spans="28:33" x14ac:dyDescent="0.3">
      <c r="AB994" s="3">
        <v>0.98055555555555296</v>
      </c>
      <c r="AC994" s="3" t="str">
        <f t="shared" si="44"/>
        <v>23:32</v>
      </c>
      <c r="AD994" s="3">
        <f t="shared" si="45"/>
        <v>0.98055555555555562</v>
      </c>
      <c r="AE994" s="1">
        <v>100</v>
      </c>
      <c r="AF994" s="1">
        <v>10</v>
      </c>
      <c r="AG994" s="1">
        <v>2</v>
      </c>
    </row>
    <row r="995" spans="28:33" x14ac:dyDescent="0.3">
      <c r="AB995" s="3">
        <v>0.98124999999999796</v>
      </c>
      <c r="AC995" s="3" t="str">
        <f t="shared" si="44"/>
        <v>23:33</v>
      </c>
      <c r="AD995" s="3">
        <f t="shared" si="45"/>
        <v>0.98125000000000007</v>
      </c>
      <c r="AE995" s="1">
        <v>100</v>
      </c>
      <c r="AF995" s="1">
        <v>10</v>
      </c>
      <c r="AG995" s="1">
        <v>3</v>
      </c>
    </row>
    <row r="996" spans="28:33" x14ac:dyDescent="0.3">
      <c r="AB996" s="3">
        <v>0.98194444444444196</v>
      </c>
      <c r="AC996" s="3" t="str">
        <f t="shared" si="44"/>
        <v>23:34</v>
      </c>
      <c r="AD996" s="3">
        <f t="shared" si="45"/>
        <v>0.9819444444444444</v>
      </c>
      <c r="AE996" s="1">
        <v>100</v>
      </c>
      <c r="AF996" s="1">
        <v>10</v>
      </c>
      <c r="AG996" s="1">
        <v>4</v>
      </c>
    </row>
    <row r="997" spans="28:33" x14ac:dyDescent="0.3">
      <c r="AB997" s="3">
        <v>0.98263888888888695</v>
      </c>
      <c r="AC997" s="3" t="str">
        <f t="shared" si="44"/>
        <v>23:35</v>
      </c>
      <c r="AD997" s="3">
        <f t="shared" si="45"/>
        <v>0.98263888888888884</v>
      </c>
      <c r="AE997" s="1">
        <v>100</v>
      </c>
      <c r="AF997" s="1">
        <v>10</v>
      </c>
      <c r="AG997" s="1">
        <v>5</v>
      </c>
    </row>
    <row r="998" spans="28:33" x14ac:dyDescent="0.3">
      <c r="AB998" s="3">
        <v>0.98333333333333095</v>
      </c>
      <c r="AC998" s="3" t="str">
        <f t="shared" si="44"/>
        <v>23:36</v>
      </c>
      <c r="AD998" s="3">
        <f t="shared" si="45"/>
        <v>0.98333333333333339</v>
      </c>
      <c r="AE998" s="1">
        <v>100</v>
      </c>
      <c r="AF998" s="1">
        <v>10</v>
      </c>
      <c r="AG998" s="1">
        <v>6</v>
      </c>
    </row>
    <row r="999" spans="28:33" x14ac:dyDescent="0.3">
      <c r="AB999" s="3">
        <v>0.98402777777777595</v>
      </c>
      <c r="AC999" s="3" t="str">
        <f t="shared" si="44"/>
        <v>23:37</v>
      </c>
      <c r="AD999" s="3">
        <f t="shared" si="45"/>
        <v>0.98402777777777783</v>
      </c>
      <c r="AE999" s="1">
        <v>100</v>
      </c>
      <c r="AF999" s="1">
        <v>10</v>
      </c>
      <c r="AG999" s="1">
        <v>7</v>
      </c>
    </row>
    <row r="1000" spans="28:33" x14ac:dyDescent="0.3">
      <c r="AB1000" s="3">
        <v>0.98472222222221995</v>
      </c>
      <c r="AC1000" s="3" t="str">
        <f t="shared" si="44"/>
        <v>23:38</v>
      </c>
      <c r="AD1000" s="3">
        <f t="shared" si="45"/>
        <v>0.98472222222222217</v>
      </c>
      <c r="AE1000" s="1">
        <v>100</v>
      </c>
      <c r="AF1000" s="1">
        <v>10</v>
      </c>
      <c r="AG1000" s="1">
        <v>8</v>
      </c>
    </row>
    <row r="1001" spans="28:33" x14ac:dyDescent="0.3">
      <c r="AB1001" s="3">
        <v>0.98541666666666505</v>
      </c>
      <c r="AC1001" s="3" t="str">
        <f t="shared" si="44"/>
        <v>23:39</v>
      </c>
      <c r="AD1001" s="3">
        <f t="shared" si="45"/>
        <v>0.98541666666666661</v>
      </c>
      <c r="AE1001" s="1">
        <v>100</v>
      </c>
      <c r="AF1001" s="1">
        <v>10</v>
      </c>
      <c r="AG1001" s="1">
        <v>9</v>
      </c>
    </row>
    <row r="1002" spans="28:33" x14ac:dyDescent="0.3">
      <c r="AB1002" s="3">
        <v>0.98611111111110905</v>
      </c>
      <c r="AC1002" s="3" t="str">
        <f t="shared" si="44"/>
        <v>23:40</v>
      </c>
      <c r="AD1002" s="3">
        <f t="shared" si="45"/>
        <v>0.98611111111111116</v>
      </c>
      <c r="AE1002" s="1">
        <v>101</v>
      </c>
      <c r="AF1002" s="1">
        <v>10</v>
      </c>
      <c r="AG1002" s="1">
        <v>0</v>
      </c>
    </row>
    <row r="1003" spans="28:33" x14ac:dyDescent="0.3">
      <c r="AB1003" s="3">
        <v>0.98680555555555305</v>
      </c>
      <c r="AC1003" s="3" t="str">
        <f t="shared" si="44"/>
        <v>23:41</v>
      </c>
      <c r="AD1003" s="3">
        <f t="shared" si="45"/>
        <v>0.9868055555555556</v>
      </c>
      <c r="AE1003" s="1">
        <v>101</v>
      </c>
      <c r="AF1003" s="1">
        <v>10</v>
      </c>
      <c r="AG1003" s="1">
        <v>1</v>
      </c>
    </row>
    <row r="1004" spans="28:33" x14ac:dyDescent="0.3">
      <c r="AB1004" s="3">
        <v>0.98749999999999805</v>
      </c>
      <c r="AC1004" s="3" t="str">
        <f t="shared" si="44"/>
        <v>23:42</v>
      </c>
      <c r="AD1004" s="3">
        <f t="shared" si="45"/>
        <v>0.98749999999999993</v>
      </c>
      <c r="AE1004" s="1">
        <v>101</v>
      </c>
      <c r="AF1004" s="1">
        <v>10</v>
      </c>
      <c r="AG1004" s="1">
        <v>2</v>
      </c>
    </row>
    <row r="1005" spans="28:33" x14ac:dyDescent="0.3">
      <c r="AB1005" s="3">
        <v>0.98819444444444204</v>
      </c>
      <c r="AC1005" s="3" t="str">
        <f t="shared" si="44"/>
        <v>23:43</v>
      </c>
      <c r="AD1005" s="3">
        <f t="shared" si="45"/>
        <v>0.98819444444444438</v>
      </c>
      <c r="AE1005" s="1">
        <v>101</v>
      </c>
      <c r="AF1005" s="1">
        <v>10</v>
      </c>
      <c r="AG1005" s="1">
        <v>3</v>
      </c>
    </row>
    <row r="1006" spans="28:33" x14ac:dyDescent="0.3">
      <c r="AB1006" s="3">
        <v>0.98888888888888704</v>
      </c>
      <c r="AC1006" s="3" t="str">
        <f t="shared" si="44"/>
        <v>23:44</v>
      </c>
      <c r="AD1006" s="3">
        <f t="shared" si="45"/>
        <v>0.98888888888888893</v>
      </c>
      <c r="AE1006" s="1">
        <v>101</v>
      </c>
      <c r="AF1006" s="1">
        <v>10</v>
      </c>
      <c r="AG1006" s="1">
        <v>4</v>
      </c>
    </row>
    <row r="1007" spans="28:33" x14ac:dyDescent="0.3">
      <c r="AB1007" s="3">
        <v>0.98958333333333104</v>
      </c>
      <c r="AC1007" s="3" t="str">
        <f t="shared" si="44"/>
        <v>23:45</v>
      </c>
      <c r="AD1007" s="3">
        <f t="shared" si="45"/>
        <v>0.98958333333333337</v>
      </c>
      <c r="AE1007" s="1">
        <v>101</v>
      </c>
      <c r="AF1007" s="1">
        <v>10</v>
      </c>
      <c r="AG1007" s="1">
        <v>5</v>
      </c>
    </row>
    <row r="1008" spans="28:33" x14ac:dyDescent="0.3">
      <c r="AB1008" s="3">
        <v>0.99027777777777604</v>
      </c>
      <c r="AC1008" s="3" t="str">
        <f t="shared" si="44"/>
        <v>23:46</v>
      </c>
      <c r="AD1008" s="3">
        <f t="shared" si="45"/>
        <v>0.9902777777777777</v>
      </c>
      <c r="AE1008" s="1">
        <v>101</v>
      </c>
      <c r="AF1008" s="1">
        <v>10</v>
      </c>
      <c r="AG1008" s="1">
        <v>6</v>
      </c>
    </row>
    <row r="1009" spans="28:33" x14ac:dyDescent="0.3">
      <c r="AB1009" s="3">
        <v>0.99097222222222003</v>
      </c>
      <c r="AC1009" s="3" t="str">
        <f t="shared" si="44"/>
        <v>23:47</v>
      </c>
      <c r="AD1009" s="3">
        <f t="shared" si="45"/>
        <v>0.99097222222222225</v>
      </c>
      <c r="AE1009" s="1">
        <v>101</v>
      </c>
      <c r="AF1009" s="1">
        <v>10</v>
      </c>
      <c r="AG1009" s="1">
        <v>7</v>
      </c>
    </row>
    <row r="1010" spans="28:33" x14ac:dyDescent="0.3">
      <c r="AB1010" s="3">
        <v>0.99166666666666503</v>
      </c>
      <c r="AC1010" s="3" t="str">
        <f t="shared" si="44"/>
        <v>23:48</v>
      </c>
      <c r="AD1010" s="3">
        <f t="shared" si="45"/>
        <v>0.9916666666666667</v>
      </c>
      <c r="AE1010" s="1">
        <v>101</v>
      </c>
      <c r="AF1010" s="1">
        <v>10</v>
      </c>
      <c r="AG1010" s="1">
        <v>8</v>
      </c>
    </row>
    <row r="1011" spans="28:33" x14ac:dyDescent="0.3">
      <c r="AB1011" s="3">
        <v>0.99236111111110903</v>
      </c>
      <c r="AC1011" s="3" t="str">
        <f t="shared" si="44"/>
        <v>23:49</v>
      </c>
      <c r="AD1011" s="3">
        <f t="shared" si="45"/>
        <v>0.99236111111111114</v>
      </c>
      <c r="AE1011" s="1">
        <v>101</v>
      </c>
      <c r="AF1011" s="1">
        <v>10</v>
      </c>
      <c r="AG1011" s="1">
        <v>9</v>
      </c>
    </row>
    <row r="1012" spans="28:33" x14ac:dyDescent="0.3">
      <c r="AB1012" s="3">
        <v>0.99305555555555303</v>
      </c>
      <c r="AC1012" s="3" t="str">
        <f t="shared" si="44"/>
        <v>23:50</v>
      </c>
      <c r="AD1012" s="3">
        <f t="shared" si="45"/>
        <v>0.99305555555555547</v>
      </c>
      <c r="AE1012" s="1">
        <v>102</v>
      </c>
      <c r="AF1012" s="1">
        <v>10</v>
      </c>
      <c r="AG1012" s="1">
        <v>0</v>
      </c>
    </row>
    <row r="1013" spans="28:33" x14ac:dyDescent="0.3">
      <c r="AB1013" s="3">
        <v>0.99374999999999802</v>
      </c>
      <c r="AC1013" s="3" t="str">
        <f t="shared" si="44"/>
        <v>23:51</v>
      </c>
      <c r="AD1013" s="3">
        <f t="shared" si="45"/>
        <v>0.99375000000000002</v>
      </c>
      <c r="AE1013" s="1">
        <v>102</v>
      </c>
      <c r="AF1013" s="1">
        <v>10</v>
      </c>
      <c r="AG1013" s="1">
        <v>1</v>
      </c>
    </row>
    <row r="1014" spans="28:33" x14ac:dyDescent="0.3">
      <c r="AB1014" s="3">
        <v>0.99444444444444202</v>
      </c>
      <c r="AC1014" s="3" t="str">
        <f t="shared" si="44"/>
        <v>23:52</v>
      </c>
      <c r="AD1014" s="3">
        <f t="shared" si="45"/>
        <v>0.99444444444444446</v>
      </c>
      <c r="AE1014" s="1">
        <v>102</v>
      </c>
      <c r="AF1014" s="1">
        <v>10</v>
      </c>
      <c r="AG1014" s="1">
        <v>2</v>
      </c>
    </row>
    <row r="1015" spans="28:33" x14ac:dyDescent="0.3">
      <c r="AB1015" s="3">
        <v>0.99513888888888702</v>
      </c>
      <c r="AC1015" s="3" t="str">
        <f t="shared" si="44"/>
        <v>23:53</v>
      </c>
      <c r="AD1015" s="3">
        <f t="shared" si="45"/>
        <v>0.99513888888888891</v>
      </c>
      <c r="AE1015" s="1">
        <v>102</v>
      </c>
      <c r="AF1015" s="1">
        <v>10</v>
      </c>
      <c r="AG1015" s="1">
        <v>3</v>
      </c>
    </row>
    <row r="1016" spans="28:33" x14ac:dyDescent="0.3">
      <c r="AB1016" s="3">
        <v>0.99583333333333102</v>
      </c>
      <c r="AC1016" s="3" t="str">
        <f t="shared" si="44"/>
        <v>23:54</v>
      </c>
      <c r="AD1016" s="3">
        <f t="shared" si="45"/>
        <v>0.99583333333333324</v>
      </c>
      <c r="AE1016" s="1">
        <v>102</v>
      </c>
      <c r="AF1016" s="1">
        <v>10</v>
      </c>
      <c r="AG1016" s="1">
        <v>4</v>
      </c>
    </row>
    <row r="1017" spans="28:33" x14ac:dyDescent="0.3">
      <c r="AB1017" s="3">
        <v>0.99652777777777601</v>
      </c>
      <c r="AC1017" s="3" t="str">
        <f t="shared" si="44"/>
        <v>23:55</v>
      </c>
      <c r="AD1017" s="3">
        <f t="shared" si="45"/>
        <v>0.99652777777777779</v>
      </c>
      <c r="AE1017" s="1">
        <v>102</v>
      </c>
      <c r="AF1017" s="1">
        <v>10</v>
      </c>
      <c r="AG1017" s="1">
        <v>5</v>
      </c>
    </row>
    <row r="1018" spans="28:33" x14ac:dyDescent="0.3">
      <c r="AB1018" s="3">
        <v>0.99722222222222001</v>
      </c>
      <c r="AC1018" s="3" t="str">
        <f t="shared" si="44"/>
        <v>23:56</v>
      </c>
      <c r="AD1018" s="3">
        <f t="shared" si="45"/>
        <v>0.99722222222222223</v>
      </c>
      <c r="AE1018" s="1">
        <v>102</v>
      </c>
      <c r="AF1018" s="1">
        <v>10</v>
      </c>
      <c r="AG1018" s="1">
        <v>6</v>
      </c>
    </row>
    <row r="1019" spans="28:33" x14ac:dyDescent="0.3">
      <c r="AB1019" s="3">
        <v>0.99791666666666401</v>
      </c>
      <c r="AC1019" s="3" t="str">
        <f t="shared" si="44"/>
        <v>23:57</v>
      </c>
      <c r="AD1019" s="3">
        <f t="shared" si="45"/>
        <v>0.99791666666666667</v>
      </c>
      <c r="AE1019" s="1">
        <v>102</v>
      </c>
      <c r="AF1019" s="1">
        <v>10</v>
      </c>
      <c r="AG1019" s="1">
        <v>7</v>
      </c>
    </row>
    <row r="1020" spans="28:33" x14ac:dyDescent="0.3">
      <c r="AB1020" s="3">
        <v>0.99861111111110901</v>
      </c>
      <c r="AC1020" s="3" t="str">
        <f t="shared" si="44"/>
        <v>23:58</v>
      </c>
      <c r="AD1020" s="3">
        <f t="shared" si="45"/>
        <v>0.99861111111111101</v>
      </c>
      <c r="AE1020" s="1">
        <v>102</v>
      </c>
      <c r="AF1020" s="1">
        <v>10</v>
      </c>
      <c r="AG1020" s="1">
        <v>8</v>
      </c>
    </row>
    <row r="1021" spans="28:33" x14ac:dyDescent="0.3">
      <c r="AB1021" s="3">
        <v>0.999305555555553</v>
      </c>
      <c r="AC1021" s="3" t="str">
        <f t="shared" si="44"/>
        <v>23:59</v>
      </c>
      <c r="AD1021" s="3">
        <f t="shared" si="45"/>
        <v>0.99930555555555556</v>
      </c>
      <c r="AE1021" s="1">
        <v>102</v>
      </c>
      <c r="AF1021" s="1">
        <v>10</v>
      </c>
      <c r="AG1021" s="1">
        <v>9</v>
      </c>
    </row>
    <row r="1022" spans="28:33" x14ac:dyDescent="0.3">
      <c r="AB1022" s="3">
        <v>0.999999999999998</v>
      </c>
      <c r="AC1022" s="3" t="str">
        <f t="shared" si="44"/>
        <v>00:00</v>
      </c>
      <c r="AD1022" s="3">
        <f t="shared" si="45"/>
        <v>0</v>
      </c>
      <c r="AE1022" s="1">
        <v>103</v>
      </c>
      <c r="AF1022" s="1">
        <v>10</v>
      </c>
      <c r="AG1022" s="1">
        <v>0</v>
      </c>
    </row>
    <row r="1023" spans="28:33" x14ac:dyDescent="0.3">
      <c r="AB1023" s="3">
        <v>1.0006944444444399</v>
      </c>
      <c r="AC1023" s="3" t="str">
        <f t="shared" si="44"/>
        <v>00:01</v>
      </c>
      <c r="AD1023" s="3">
        <f t="shared" si="45"/>
        <v>6.9444444444444447E-4</v>
      </c>
      <c r="AE1023" s="1">
        <v>103</v>
      </c>
      <c r="AF1023" s="1">
        <v>10</v>
      </c>
      <c r="AG1023" s="1">
        <v>1</v>
      </c>
    </row>
    <row r="1024" spans="28:33" x14ac:dyDescent="0.3">
      <c r="AB1024" s="3">
        <v>1.00138888888889</v>
      </c>
      <c r="AC1024" s="3" t="str">
        <f t="shared" si="44"/>
        <v>00:02</v>
      </c>
      <c r="AD1024" s="3">
        <f t="shared" si="45"/>
        <v>1.3888888888888889E-3</v>
      </c>
      <c r="AE1024" s="1">
        <v>103</v>
      </c>
      <c r="AF1024" s="1">
        <v>10</v>
      </c>
      <c r="AG1024" s="1">
        <v>2</v>
      </c>
    </row>
    <row r="1025" spans="28:33" x14ac:dyDescent="0.3">
      <c r="AB1025" s="3">
        <v>1.0020833333333301</v>
      </c>
      <c r="AC1025" s="3" t="str">
        <f t="shared" si="44"/>
        <v>00:03</v>
      </c>
      <c r="AD1025" s="3">
        <f t="shared" si="45"/>
        <v>2.0833333333333333E-3</v>
      </c>
      <c r="AE1025" s="1">
        <v>103</v>
      </c>
      <c r="AF1025" s="1">
        <v>10</v>
      </c>
      <c r="AG1025" s="1">
        <v>3</v>
      </c>
    </row>
    <row r="1026" spans="28:33" x14ac:dyDescent="0.3">
      <c r="AB1026" s="3">
        <v>1.00277777777778</v>
      </c>
      <c r="AC1026" s="3" t="str">
        <f t="shared" si="44"/>
        <v>00:04</v>
      </c>
      <c r="AD1026" s="3">
        <f t="shared" si="45"/>
        <v>2.7777777777777779E-3</v>
      </c>
      <c r="AE1026" s="1">
        <v>103</v>
      </c>
      <c r="AF1026" s="1">
        <v>10</v>
      </c>
      <c r="AG1026" s="1">
        <v>4</v>
      </c>
    </row>
    <row r="1027" spans="28:33" x14ac:dyDescent="0.3">
      <c r="AB1027" s="3">
        <v>1.0034722222222201</v>
      </c>
      <c r="AC1027" s="3" t="str">
        <f t="shared" ref="AC1027:AC1090" si="46">TEXT(AB1027,"hh:mm")</f>
        <v>00:05</v>
      </c>
      <c r="AD1027" s="3">
        <f t="shared" ref="AD1027:AD1090" si="47">VALUE(AC1027)</f>
        <v>3.472222222222222E-3</v>
      </c>
      <c r="AE1027" s="1">
        <v>103</v>
      </c>
      <c r="AF1027" s="1">
        <v>10</v>
      </c>
      <c r="AG1027" s="1">
        <v>5</v>
      </c>
    </row>
    <row r="1028" spans="28:33" x14ac:dyDescent="0.3">
      <c r="AB1028" s="3">
        <v>1.00416666666666</v>
      </c>
      <c r="AC1028" s="3" t="str">
        <f t="shared" si="46"/>
        <v>00:06</v>
      </c>
      <c r="AD1028" s="3">
        <f t="shared" si="47"/>
        <v>4.1666666666666666E-3</v>
      </c>
      <c r="AE1028" s="1">
        <v>103</v>
      </c>
      <c r="AF1028" s="1">
        <v>10</v>
      </c>
      <c r="AG1028" s="1">
        <v>6</v>
      </c>
    </row>
    <row r="1029" spans="28:33" x14ac:dyDescent="0.3">
      <c r="AB1029" s="3">
        <v>1.0048611111111101</v>
      </c>
      <c r="AC1029" s="3" t="str">
        <f t="shared" si="46"/>
        <v>00:07</v>
      </c>
      <c r="AD1029" s="3">
        <f t="shared" si="47"/>
        <v>4.8611111111111112E-3</v>
      </c>
      <c r="AE1029" s="1">
        <v>103</v>
      </c>
      <c r="AF1029" s="1">
        <v>10</v>
      </c>
      <c r="AG1029" s="1">
        <v>7</v>
      </c>
    </row>
    <row r="1030" spans="28:33" x14ac:dyDescent="0.3">
      <c r="AB1030" s="3">
        <v>1.00555555555555</v>
      </c>
      <c r="AC1030" s="3" t="str">
        <f t="shared" si="46"/>
        <v>00:08</v>
      </c>
      <c r="AD1030" s="3">
        <f t="shared" si="47"/>
        <v>5.5555555555555558E-3</v>
      </c>
      <c r="AE1030" s="1">
        <v>103</v>
      </c>
      <c r="AF1030" s="1">
        <v>10</v>
      </c>
      <c r="AG1030" s="1">
        <v>8</v>
      </c>
    </row>
    <row r="1031" spans="28:33" x14ac:dyDescent="0.3">
      <c r="AB1031" s="3">
        <v>1.0062500000000001</v>
      </c>
      <c r="AC1031" s="3" t="str">
        <f t="shared" si="46"/>
        <v>00:09</v>
      </c>
      <c r="AD1031" s="3">
        <f t="shared" si="47"/>
        <v>6.2499999999999995E-3</v>
      </c>
      <c r="AE1031" s="1">
        <v>103</v>
      </c>
      <c r="AF1031" s="1">
        <v>10</v>
      </c>
      <c r="AG1031" s="1">
        <v>9</v>
      </c>
    </row>
    <row r="1032" spans="28:33" x14ac:dyDescent="0.3">
      <c r="AB1032" s="3">
        <v>1.00694444444444</v>
      </c>
      <c r="AC1032" s="3" t="str">
        <f t="shared" si="46"/>
        <v>00:10</v>
      </c>
      <c r="AD1032" s="3">
        <f t="shared" si="47"/>
        <v>6.9444444444444441E-3</v>
      </c>
      <c r="AE1032" s="1">
        <v>104</v>
      </c>
      <c r="AF1032" s="1">
        <v>10</v>
      </c>
      <c r="AG1032" s="1">
        <v>0</v>
      </c>
    </row>
    <row r="1033" spans="28:33" x14ac:dyDescent="0.3">
      <c r="AB1033" s="3">
        <v>1.0076388888888901</v>
      </c>
      <c r="AC1033" s="3" t="str">
        <f t="shared" si="46"/>
        <v>00:11</v>
      </c>
      <c r="AD1033" s="3">
        <f t="shared" si="47"/>
        <v>7.6388888888888886E-3</v>
      </c>
      <c r="AE1033" s="1">
        <v>104</v>
      </c>
      <c r="AF1033" s="1">
        <v>10</v>
      </c>
      <c r="AG1033" s="1">
        <v>1</v>
      </c>
    </row>
    <row r="1034" spans="28:33" x14ac:dyDescent="0.3">
      <c r="AB1034" s="3">
        <v>1.00833333333333</v>
      </c>
      <c r="AC1034" s="3" t="str">
        <f t="shared" si="46"/>
        <v>00:12</v>
      </c>
      <c r="AD1034" s="3">
        <f t="shared" si="47"/>
        <v>8.3333333333333332E-3</v>
      </c>
      <c r="AE1034" s="1">
        <v>104</v>
      </c>
      <c r="AF1034" s="1">
        <v>10</v>
      </c>
      <c r="AG1034" s="1">
        <v>2</v>
      </c>
    </row>
    <row r="1035" spans="28:33" x14ac:dyDescent="0.3">
      <c r="AB1035" s="3">
        <v>1.0090277777777801</v>
      </c>
      <c r="AC1035" s="3" t="str">
        <f t="shared" si="46"/>
        <v>00:13</v>
      </c>
      <c r="AD1035" s="3">
        <f t="shared" si="47"/>
        <v>9.0277777777777787E-3</v>
      </c>
      <c r="AE1035" s="1">
        <v>104</v>
      </c>
      <c r="AF1035" s="1">
        <v>10</v>
      </c>
      <c r="AG1035" s="1">
        <v>3</v>
      </c>
    </row>
    <row r="1036" spans="28:33" x14ac:dyDescent="0.3">
      <c r="AB1036" s="3">
        <v>1.00972222222222</v>
      </c>
      <c r="AC1036" s="3" t="str">
        <f t="shared" si="46"/>
        <v>00:14</v>
      </c>
      <c r="AD1036" s="3">
        <f t="shared" si="47"/>
        <v>9.7222222222222224E-3</v>
      </c>
      <c r="AE1036" s="1">
        <v>104</v>
      </c>
      <c r="AF1036" s="1">
        <v>10</v>
      </c>
      <c r="AG1036" s="1">
        <v>4</v>
      </c>
    </row>
    <row r="1037" spans="28:33" x14ac:dyDescent="0.3">
      <c r="AB1037" s="3">
        <v>1.0104166666666601</v>
      </c>
      <c r="AC1037" s="3" t="str">
        <f t="shared" si="46"/>
        <v>00:15</v>
      </c>
      <c r="AD1037" s="3">
        <f t="shared" si="47"/>
        <v>1.0416666666666666E-2</v>
      </c>
      <c r="AE1037" s="1">
        <v>104</v>
      </c>
      <c r="AF1037" s="1">
        <v>10</v>
      </c>
      <c r="AG1037" s="1">
        <v>5</v>
      </c>
    </row>
    <row r="1038" spans="28:33" x14ac:dyDescent="0.3">
      <c r="AB1038" s="3">
        <v>1.01111111111111</v>
      </c>
      <c r="AC1038" s="3" t="str">
        <f t="shared" si="46"/>
        <v>00:16</v>
      </c>
      <c r="AD1038" s="3">
        <f t="shared" si="47"/>
        <v>1.1111111111111112E-2</v>
      </c>
      <c r="AE1038" s="1">
        <v>104</v>
      </c>
      <c r="AF1038" s="1">
        <v>10</v>
      </c>
      <c r="AG1038" s="1">
        <v>6</v>
      </c>
    </row>
    <row r="1039" spans="28:33" x14ac:dyDescent="0.3">
      <c r="AB1039" s="3">
        <v>1.0118055555555501</v>
      </c>
      <c r="AC1039" s="3" t="str">
        <f t="shared" si="46"/>
        <v>00:17</v>
      </c>
      <c r="AD1039" s="3">
        <f t="shared" si="47"/>
        <v>1.1805555555555555E-2</v>
      </c>
      <c r="AE1039" s="1">
        <v>104</v>
      </c>
      <c r="AF1039" s="1">
        <v>10</v>
      </c>
      <c r="AG1039" s="1">
        <v>7</v>
      </c>
    </row>
    <row r="1040" spans="28:33" x14ac:dyDescent="0.3">
      <c r="AB1040" s="3">
        <v>1.0125</v>
      </c>
      <c r="AC1040" s="3" t="str">
        <f t="shared" si="46"/>
        <v>00:18</v>
      </c>
      <c r="AD1040" s="3">
        <f t="shared" si="47"/>
        <v>1.2499999999999999E-2</v>
      </c>
      <c r="AE1040" s="1">
        <v>104</v>
      </c>
      <c r="AF1040" s="1">
        <v>10</v>
      </c>
      <c r="AG1040" s="1">
        <v>8</v>
      </c>
    </row>
    <row r="1041" spans="28:33" x14ac:dyDescent="0.3">
      <c r="AB1041" s="3">
        <v>1.0131944444444401</v>
      </c>
      <c r="AC1041" s="3" t="str">
        <f t="shared" si="46"/>
        <v>00:19</v>
      </c>
      <c r="AD1041" s="3">
        <f t="shared" si="47"/>
        <v>1.3194444444444444E-2</v>
      </c>
      <c r="AE1041" s="1">
        <v>104</v>
      </c>
      <c r="AF1041" s="1">
        <v>10</v>
      </c>
      <c r="AG1041" s="1">
        <v>9</v>
      </c>
    </row>
    <row r="1042" spans="28:33" x14ac:dyDescent="0.3">
      <c r="AB1042" s="3">
        <v>1.0138888888888899</v>
      </c>
      <c r="AC1042" s="3" t="str">
        <f t="shared" si="46"/>
        <v>00:20</v>
      </c>
      <c r="AD1042" s="3">
        <f t="shared" si="47"/>
        <v>1.3888888888888888E-2</v>
      </c>
      <c r="AE1042" s="1">
        <v>105</v>
      </c>
      <c r="AF1042" s="1">
        <v>10</v>
      </c>
      <c r="AG1042" s="1">
        <v>0</v>
      </c>
    </row>
    <row r="1043" spans="28:33" x14ac:dyDescent="0.3">
      <c r="AB1043" s="3">
        <v>1.0145833333333301</v>
      </c>
      <c r="AC1043" s="3" t="str">
        <f t="shared" si="46"/>
        <v>00:21</v>
      </c>
      <c r="AD1043" s="3">
        <f t="shared" si="47"/>
        <v>1.4583333333333332E-2</v>
      </c>
      <c r="AE1043" s="1">
        <v>105</v>
      </c>
      <c r="AF1043" s="1">
        <v>10</v>
      </c>
      <c r="AG1043" s="1">
        <v>1</v>
      </c>
    </row>
    <row r="1044" spans="28:33" x14ac:dyDescent="0.3">
      <c r="AB1044" s="3">
        <v>1.0152777777777799</v>
      </c>
      <c r="AC1044" s="3" t="str">
        <f t="shared" si="46"/>
        <v>00:22</v>
      </c>
      <c r="AD1044" s="3">
        <f t="shared" si="47"/>
        <v>1.5277777777777777E-2</v>
      </c>
      <c r="AE1044" s="1">
        <v>105</v>
      </c>
      <c r="AF1044" s="1">
        <v>10</v>
      </c>
      <c r="AG1044" s="1">
        <v>2</v>
      </c>
    </row>
    <row r="1045" spans="28:33" x14ac:dyDescent="0.3">
      <c r="AB1045" s="3">
        <v>1.0159722222222201</v>
      </c>
      <c r="AC1045" s="3" t="str">
        <f t="shared" si="46"/>
        <v>00:23</v>
      </c>
      <c r="AD1045" s="3">
        <f t="shared" si="47"/>
        <v>1.5972222222222224E-2</v>
      </c>
      <c r="AE1045" s="1">
        <v>105</v>
      </c>
      <c r="AF1045" s="1">
        <v>10</v>
      </c>
      <c r="AG1045" s="1">
        <v>3</v>
      </c>
    </row>
    <row r="1046" spans="28:33" x14ac:dyDescent="0.3">
      <c r="AB1046" s="3">
        <v>1.0166666666666599</v>
      </c>
      <c r="AC1046" s="3" t="str">
        <f t="shared" si="46"/>
        <v>00:24</v>
      </c>
      <c r="AD1046" s="3">
        <f t="shared" si="47"/>
        <v>1.6666666666666666E-2</v>
      </c>
      <c r="AE1046" s="1">
        <v>105</v>
      </c>
      <c r="AF1046" s="1">
        <v>10</v>
      </c>
      <c r="AG1046" s="1">
        <v>4</v>
      </c>
    </row>
    <row r="1047" spans="28:33" x14ac:dyDescent="0.3">
      <c r="AB1047" s="3">
        <v>1.0173611111111101</v>
      </c>
      <c r="AC1047" s="3" t="str">
        <f t="shared" si="46"/>
        <v>00:25</v>
      </c>
      <c r="AD1047" s="3">
        <f t="shared" si="47"/>
        <v>1.7361111111111112E-2</v>
      </c>
      <c r="AE1047" s="1">
        <v>105</v>
      </c>
      <c r="AF1047" s="1">
        <v>10</v>
      </c>
      <c r="AG1047" s="1">
        <v>5</v>
      </c>
    </row>
    <row r="1048" spans="28:33" x14ac:dyDescent="0.3">
      <c r="AB1048" s="3">
        <v>1.0180555555555499</v>
      </c>
      <c r="AC1048" s="3" t="str">
        <f t="shared" si="46"/>
        <v>00:26</v>
      </c>
      <c r="AD1048" s="3">
        <f t="shared" si="47"/>
        <v>1.8055555555555557E-2</v>
      </c>
      <c r="AE1048" s="1">
        <v>105</v>
      </c>
      <c r="AF1048" s="1">
        <v>10</v>
      </c>
      <c r="AG1048" s="1">
        <v>6</v>
      </c>
    </row>
    <row r="1049" spans="28:33" x14ac:dyDescent="0.3">
      <c r="AB1049" s="3">
        <v>1.01875</v>
      </c>
      <c r="AC1049" s="3" t="str">
        <f t="shared" si="46"/>
        <v>00:27</v>
      </c>
      <c r="AD1049" s="3">
        <f t="shared" si="47"/>
        <v>1.8749999999999999E-2</v>
      </c>
      <c r="AE1049" s="1">
        <v>105</v>
      </c>
      <c r="AF1049" s="1">
        <v>10</v>
      </c>
      <c r="AG1049" s="1">
        <v>7</v>
      </c>
    </row>
    <row r="1050" spans="28:33" x14ac:dyDescent="0.3">
      <c r="AB1050" s="3">
        <v>1.0194444444444399</v>
      </c>
      <c r="AC1050" s="3" t="str">
        <f t="shared" si="46"/>
        <v>00:28</v>
      </c>
      <c r="AD1050" s="3">
        <f t="shared" si="47"/>
        <v>1.9444444444444445E-2</v>
      </c>
      <c r="AE1050" s="1">
        <v>105</v>
      </c>
      <c r="AF1050" s="1">
        <v>10</v>
      </c>
      <c r="AG1050" s="1">
        <v>8</v>
      </c>
    </row>
    <row r="1051" spans="28:33" x14ac:dyDescent="0.3">
      <c r="AB1051" s="3">
        <v>1.02013888888889</v>
      </c>
      <c r="AC1051" s="3" t="str">
        <f t="shared" si="46"/>
        <v>00:29</v>
      </c>
      <c r="AD1051" s="3">
        <f t="shared" si="47"/>
        <v>2.013888888888889E-2</v>
      </c>
      <c r="AE1051" s="1">
        <v>105</v>
      </c>
      <c r="AF1051" s="1">
        <v>10</v>
      </c>
      <c r="AG1051" s="1">
        <v>9</v>
      </c>
    </row>
    <row r="1052" spans="28:33" x14ac:dyDescent="0.3">
      <c r="AB1052" s="3">
        <v>1.0208333333333299</v>
      </c>
      <c r="AC1052" s="3" t="str">
        <f t="shared" si="46"/>
        <v>00:30</v>
      </c>
      <c r="AD1052" s="3">
        <f t="shared" si="47"/>
        <v>2.0833333333333332E-2</v>
      </c>
      <c r="AE1052" s="1">
        <v>106</v>
      </c>
      <c r="AF1052" s="1">
        <v>10</v>
      </c>
      <c r="AG1052" s="1">
        <v>0</v>
      </c>
    </row>
    <row r="1053" spans="28:33" x14ac:dyDescent="0.3">
      <c r="AB1053" s="3">
        <v>1.02152777777778</v>
      </c>
      <c r="AC1053" s="3" t="str">
        <f t="shared" si="46"/>
        <v>00:31</v>
      </c>
      <c r="AD1053" s="3">
        <f t="shared" si="47"/>
        <v>2.1527777777777781E-2</v>
      </c>
      <c r="AE1053" s="1">
        <v>106</v>
      </c>
      <c r="AF1053" s="1">
        <v>10</v>
      </c>
      <c r="AG1053" s="1">
        <v>1</v>
      </c>
    </row>
    <row r="1054" spans="28:33" x14ac:dyDescent="0.3">
      <c r="AB1054" s="3">
        <v>1.0222222222222199</v>
      </c>
      <c r="AC1054" s="3" t="str">
        <f t="shared" si="46"/>
        <v>00:32</v>
      </c>
      <c r="AD1054" s="3">
        <f t="shared" si="47"/>
        <v>2.2222222222222223E-2</v>
      </c>
      <c r="AE1054" s="1">
        <v>106</v>
      </c>
      <c r="AF1054" s="1">
        <v>10</v>
      </c>
      <c r="AG1054" s="1">
        <v>2</v>
      </c>
    </row>
    <row r="1055" spans="28:33" x14ac:dyDescent="0.3">
      <c r="AB1055" s="3">
        <v>1.02291666666666</v>
      </c>
      <c r="AC1055" s="3" t="str">
        <f t="shared" si="46"/>
        <v>00:33</v>
      </c>
      <c r="AD1055" s="3">
        <f t="shared" si="47"/>
        <v>2.2916666666666669E-2</v>
      </c>
      <c r="AE1055" s="1">
        <v>106</v>
      </c>
      <c r="AF1055" s="1">
        <v>10</v>
      </c>
      <c r="AG1055" s="1">
        <v>3</v>
      </c>
    </row>
    <row r="1056" spans="28:33" x14ac:dyDescent="0.3">
      <c r="AB1056" s="3">
        <v>1.0236111111111099</v>
      </c>
      <c r="AC1056" s="3" t="str">
        <f t="shared" si="46"/>
        <v>00:34</v>
      </c>
      <c r="AD1056" s="3">
        <f t="shared" si="47"/>
        <v>2.361111111111111E-2</v>
      </c>
      <c r="AE1056" s="1">
        <v>106</v>
      </c>
      <c r="AF1056" s="1">
        <v>10</v>
      </c>
      <c r="AG1056" s="1">
        <v>4</v>
      </c>
    </row>
    <row r="1057" spans="28:33" x14ac:dyDescent="0.3">
      <c r="AB1057" s="3">
        <v>1.02430555555555</v>
      </c>
      <c r="AC1057" s="3" t="str">
        <f t="shared" si="46"/>
        <v>00:35</v>
      </c>
      <c r="AD1057" s="3">
        <f t="shared" si="47"/>
        <v>2.4305555555555556E-2</v>
      </c>
      <c r="AE1057" s="1">
        <v>106</v>
      </c>
      <c r="AF1057" s="1">
        <v>10</v>
      </c>
      <c r="AG1057" s="1">
        <v>5</v>
      </c>
    </row>
    <row r="1058" spans="28:33" x14ac:dyDescent="0.3">
      <c r="AB1058" s="3">
        <v>1.0249999999999999</v>
      </c>
      <c r="AC1058" s="3" t="str">
        <f t="shared" si="46"/>
        <v>00:36</v>
      </c>
      <c r="AD1058" s="3">
        <f t="shared" si="47"/>
        <v>2.4999999999999998E-2</v>
      </c>
      <c r="AE1058" s="1">
        <v>106</v>
      </c>
      <c r="AF1058" s="1">
        <v>10</v>
      </c>
      <c r="AG1058" s="1">
        <v>6</v>
      </c>
    </row>
    <row r="1059" spans="28:33" x14ac:dyDescent="0.3">
      <c r="AB1059" s="3">
        <v>1.02569444444444</v>
      </c>
      <c r="AC1059" s="3" t="str">
        <f t="shared" si="46"/>
        <v>00:37</v>
      </c>
      <c r="AD1059" s="3">
        <f t="shared" si="47"/>
        <v>2.5694444444444447E-2</v>
      </c>
      <c r="AE1059" s="1">
        <v>106</v>
      </c>
      <c r="AF1059" s="1">
        <v>10</v>
      </c>
      <c r="AG1059" s="1">
        <v>7</v>
      </c>
    </row>
    <row r="1060" spans="28:33" x14ac:dyDescent="0.3">
      <c r="AB1060" s="3">
        <v>1.0263888888888899</v>
      </c>
      <c r="AC1060" s="3" t="str">
        <f t="shared" si="46"/>
        <v>00:38</v>
      </c>
      <c r="AD1060" s="3">
        <f t="shared" si="47"/>
        <v>2.6388888888888889E-2</v>
      </c>
      <c r="AE1060" s="1">
        <v>106</v>
      </c>
      <c r="AF1060" s="1">
        <v>10</v>
      </c>
      <c r="AG1060" s="1">
        <v>8</v>
      </c>
    </row>
    <row r="1061" spans="28:33" x14ac:dyDescent="0.3">
      <c r="AB1061" s="3">
        <v>1.02708333333333</v>
      </c>
      <c r="AC1061" s="3" t="str">
        <f t="shared" si="46"/>
        <v>00:39</v>
      </c>
      <c r="AD1061" s="3">
        <f t="shared" si="47"/>
        <v>2.7083333333333334E-2</v>
      </c>
      <c r="AE1061" s="1">
        <v>106</v>
      </c>
      <c r="AF1061" s="1">
        <v>10</v>
      </c>
      <c r="AG1061" s="1">
        <v>9</v>
      </c>
    </row>
    <row r="1062" spans="28:33" x14ac:dyDescent="0.3">
      <c r="AB1062" s="3">
        <v>1.0277777777777699</v>
      </c>
      <c r="AC1062" s="3" t="str">
        <f t="shared" si="46"/>
        <v>00:40</v>
      </c>
      <c r="AD1062" s="3">
        <f t="shared" si="47"/>
        <v>2.7777777777777776E-2</v>
      </c>
      <c r="AE1062" s="1">
        <v>107</v>
      </c>
      <c r="AF1062" s="1">
        <v>10</v>
      </c>
      <c r="AG1062" s="1">
        <v>0</v>
      </c>
    </row>
    <row r="1063" spans="28:33" x14ac:dyDescent="0.3">
      <c r="AB1063" s="3">
        <v>1.02847222222222</v>
      </c>
      <c r="AC1063" s="3" t="str">
        <f t="shared" si="46"/>
        <v>00:41</v>
      </c>
      <c r="AD1063" s="3">
        <f t="shared" si="47"/>
        <v>2.8472222222222222E-2</v>
      </c>
      <c r="AE1063" s="1">
        <v>107</v>
      </c>
      <c r="AF1063" s="1">
        <v>10</v>
      </c>
      <c r="AG1063" s="1">
        <v>1</v>
      </c>
    </row>
    <row r="1064" spans="28:33" x14ac:dyDescent="0.3">
      <c r="AB1064" s="3">
        <v>1.0291666666666599</v>
      </c>
      <c r="AC1064" s="3" t="str">
        <f t="shared" si="46"/>
        <v>00:42</v>
      </c>
      <c r="AD1064" s="3">
        <f t="shared" si="47"/>
        <v>2.9166666666666664E-2</v>
      </c>
      <c r="AE1064" s="1">
        <v>107</v>
      </c>
      <c r="AF1064" s="1">
        <v>10</v>
      </c>
      <c r="AG1064" s="1">
        <v>2</v>
      </c>
    </row>
    <row r="1065" spans="28:33" x14ac:dyDescent="0.3">
      <c r="AB1065" s="3">
        <v>1.02986111111111</v>
      </c>
      <c r="AC1065" s="3" t="str">
        <f t="shared" si="46"/>
        <v>00:43</v>
      </c>
      <c r="AD1065" s="3">
        <f t="shared" si="47"/>
        <v>2.9861111111111113E-2</v>
      </c>
      <c r="AE1065" s="1">
        <v>107</v>
      </c>
      <c r="AF1065" s="1">
        <v>10</v>
      </c>
      <c r="AG1065" s="1">
        <v>3</v>
      </c>
    </row>
    <row r="1066" spans="28:33" x14ac:dyDescent="0.3">
      <c r="AB1066" s="3">
        <v>1.0305555555555499</v>
      </c>
      <c r="AC1066" s="3" t="str">
        <f t="shared" si="46"/>
        <v>00:44</v>
      </c>
      <c r="AD1066" s="3">
        <f t="shared" si="47"/>
        <v>3.0555555555555555E-2</v>
      </c>
      <c r="AE1066" s="1">
        <v>107</v>
      </c>
      <c r="AF1066" s="1">
        <v>10</v>
      </c>
      <c r="AG1066" s="1">
        <v>4</v>
      </c>
    </row>
    <row r="1067" spans="28:33" x14ac:dyDescent="0.3">
      <c r="AB1067" s="3">
        <v>1.03125</v>
      </c>
      <c r="AC1067" s="3" t="str">
        <f t="shared" si="46"/>
        <v>00:45</v>
      </c>
      <c r="AD1067" s="3">
        <f t="shared" si="47"/>
        <v>3.125E-2</v>
      </c>
      <c r="AE1067" s="1">
        <v>107</v>
      </c>
      <c r="AF1067" s="1">
        <v>10</v>
      </c>
      <c r="AG1067" s="1">
        <v>5</v>
      </c>
    </row>
    <row r="1068" spans="28:33" x14ac:dyDescent="0.3">
      <c r="AB1068" s="3">
        <v>1.0319444444444399</v>
      </c>
      <c r="AC1068" s="3" t="str">
        <f t="shared" si="46"/>
        <v>00:46</v>
      </c>
      <c r="AD1068" s="3">
        <f t="shared" si="47"/>
        <v>3.1944444444444449E-2</v>
      </c>
      <c r="AE1068" s="1">
        <v>107</v>
      </c>
      <c r="AF1068" s="1">
        <v>10</v>
      </c>
      <c r="AG1068" s="1">
        <v>6</v>
      </c>
    </row>
    <row r="1069" spans="28:33" x14ac:dyDescent="0.3">
      <c r="AB1069" s="3">
        <v>1.03263888888889</v>
      </c>
      <c r="AC1069" s="3" t="str">
        <f t="shared" si="46"/>
        <v>00:47</v>
      </c>
      <c r="AD1069" s="3">
        <f t="shared" si="47"/>
        <v>3.2638888888888891E-2</v>
      </c>
      <c r="AE1069" s="1">
        <v>107</v>
      </c>
      <c r="AF1069" s="1">
        <v>10</v>
      </c>
      <c r="AG1069" s="1">
        <v>7</v>
      </c>
    </row>
    <row r="1070" spans="28:33" x14ac:dyDescent="0.3">
      <c r="AB1070" s="3">
        <v>1.0333333333333301</v>
      </c>
      <c r="AC1070" s="3" t="str">
        <f t="shared" si="46"/>
        <v>00:48</v>
      </c>
      <c r="AD1070" s="3">
        <f t="shared" si="47"/>
        <v>3.3333333333333333E-2</v>
      </c>
      <c r="AE1070" s="1">
        <v>107</v>
      </c>
      <c r="AF1070" s="1">
        <v>10</v>
      </c>
      <c r="AG1070" s="1">
        <v>8</v>
      </c>
    </row>
    <row r="1071" spans="28:33" x14ac:dyDescent="0.3">
      <c r="AB1071" s="3">
        <v>1.03402777777777</v>
      </c>
      <c r="AC1071" s="3" t="str">
        <f t="shared" si="46"/>
        <v>00:49</v>
      </c>
      <c r="AD1071" s="3">
        <f t="shared" si="47"/>
        <v>3.4027777777777775E-2</v>
      </c>
      <c r="AE1071" s="1">
        <v>107</v>
      </c>
      <c r="AF1071" s="1">
        <v>10</v>
      </c>
      <c r="AG1071" s="1">
        <v>9</v>
      </c>
    </row>
    <row r="1072" spans="28:33" x14ac:dyDescent="0.3">
      <c r="AB1072" s="3">
        <v>1.0347222222222201</v>
      </c>
      <c r="AC1072" s="3" t="str">
        <f t="shared" si="46"/>
        <v>00:50</v>
      </c>
      <c r="AD1072" s="3">
        <f t="shared" si="47"/>
        <v>3.4722222222222224E-2</v>
      </c>
      <c r="AE1072" s="1">
        <v>108</v>
      </c>
      <c r="AF1072" s="1">
        <v>10</v>
      </c>
      <c r="AG1072" s="1">
        <v>0</v>
      </c>
    </row>
    <row r="1073" spans="28:33" x14ac:dyDescent="0.3">
      <c r="AB1073" s="3">
        <v>1.03541666666666</v>
      </c>
      <c r="AC1073" s="3" t="str">
        <f t="shared" si="46"/>
        <v>00:51</v>
      </c>
      <c r="AD1073" s="3">
        <f t="shared" si="47"/>
        <v>3.5416666666666666E-2</v>
      </c>
      <c r="AE1073" s="1">
        <v>108</v>
      </c>
      <c r="AF1073" s="1">
        <v>10</v>
      </c>
      <c r="AG1073" s="1">
        <v>1</v>
      </c>
    </row>
    <row r="1074" spans="28:33" x14ac:dyDescent="0.3">
      <c r="AB1074" s="3">
        <v>1.0361111111111101</v>
      </c>
      <c r="AC1074" s="3" t="str">
        <f t="shared" si="46"/>
        <v>00:52</v>
      </c>
      <c r="AD1074" s="3">
        <f t="shared" si="47"/>
        <v>3.6111111111111115E-2</v>
      </c>
      <c r="AE1074" s="1">
        <v>108</v>
      </c>
      <c r="AF1074" s="1">
        <v>10</v>
      </c>
      <c r="AG1074" s="1">
        <v>2</v>
      </c>
    </row>
    <row r="1075" spans="28:33" x14ac:dyDescent="0.3">
      <c r="AB1075" s="3">
        <v>1.03680555555555</v>
      </c>
      <c r="AC1075" s="3" t="str">
        <f t="shared" si="46"/>
        <v>00:53</v>
      </c>
      <c r="AD1075" s="3">
        <f t="shared" si="47"/>
        <v>3.6805555555555557E-2</v>
      </c>
      <c r="AE1075" s="1">
        <v>108</v>
      </c>
      <c r="AF1075" s="1">
        <v>10</v>
      </c>
      <c r="AG1075" s="1">
        <v>3</v>
      </c>
    </row>
    <row r="1076" spans="28:33" x14ac:dyDescent="0.3">
      <c r="AB1076" s="3">
        <v>1.0375000000000001</v>
      </c>
      <c r="AC1076" s="3" t="str">
        <f t="shared" si="46"/>
        <v>00:54</v>
      </c>
      <c r="AD1076" s="3">
        <f t="shared" si="47"/>
        <v>3.7499999999999999E-2</v>
      </c>
      <c r="AE1076" s="1">
        <v>108</v>
      </c>
      <c r="AF1076" s="1">
        <v>10</v>
      </c>
      <c r="AG1076" s="1">
        <v>4</v>
      </c>
    </row>
    <row r="1077" spans="28:33" x14ac:dyDescent="0.3">
      <c r="AB1077" s="3">
        <v>1.03819444444444</v>
      </c>
      <c r="AC1077" s="3" t="str">
        <f t="shared" si="46"/>
        <v>00:55</v>
      </c>
      <c r="AD1077" s="3">
        <f t="shared" si="47"/>
        <v>3.8194444444444441E-2</v>
      </c>
      <c r="AE1077" s="1">
        <v>108</v>
      </c>
      <c r="AF1077" s="1">
        <v>10</v>
      </c>
      <c r="AG1077" s="1">
        <v>5</v>
      </c>
    </row>
    <row r="1078" spans="28:33" x14ac:dyDescent="0.3">
      <c r="AB1078" s="3">
        <v>1.0388888888888901</v>
      </c>
      <c r="AC1078" s="3" t="str">
        <f t="shared" si="46"/>
        <v>00:56</v>
      </c>
      <c r="AD1078" s="3">
        <f t="shared" si="47"/>
        <v>3.888888888888889E-2</v>
      </c>
      <c r="AE1078" s="1">
        <v>108</v>
      </c>
      <c r="AF1078" s="1">
        <v>10</v>
      </c>
      <c r="AG1078" s="1">
        <v>6</v>
      </c>
    </row>
    <row r="1079" spans="28:33" x14ac:dyDescent="0.3">
      <c r="AB1079" s="3">
        <v>1.03958333333333</v>
      </c>
      <c r="AC1079" s="3" t="str">
        <f t="shared" si="46"/>
        <v>00:57</v>
      </c>
      <c r="AD1079" s="3">
        <f t="shared" si="47"/>
        <v>3.9583333333333331E-2</v>
      </c>
      <c r="AE1079" s="1">
        <v>108</v>
      </c>
      <c r="AF1079" s="1">
        <v>10</v>
      </c>
      <c r="AG1079" s="1">
        <v>7</v>
      </c>
    </row>
    <row r="1080" spans="28:33" x14ac:dyDescent="0.3">
      <c r="AB1080" s="3">
        <v>1.0402777777777701</v>
      </c>
      <c r="AC1080" s="3" t="str">
        <f t="shared" si="46"/>
        <v>00:58</v>
      </c>
      <c r="AD1080" s="3">
        <f t="shared" si="47"/>
        <v>4.027777777777778E-2</v>
      </c>
      <c r="AE1080" s="1">
        <v>108</v>
      </c>
      <c r="AF1080" s="1">
        <v>10</v>
      </c>
      <c r="AG1080" s="1">
        <v>8</v>
      </c>
    </row>
    <row r="1081" spans="28:33" x14ac:dyDescent="0.3">
      <c r="AB1081" s="3">
        <v>1.04097222222222</v>
      </c>
      <c r="AC1081" s="3" t="str">
        <f t="shared" si="46"/>
        <v>00:59</v>
      </c>
      <c r="AD1081" s="3">
        <f t="shared" si="47"/>
        <v>4.0972222222222222E-2</v>
      </c>
      <c r="AE1081" s="1">
        <v>108</v>
      </c>
      <c r="AF1081" s="1">
        <v>10</v>
      </c>
      <c r="AG1081" s="1">
        <v>9</v>
      </c>
    </row>
    <row r="1082" spans="28:33" x14ac:dyDescent="0.3">
      <c r="AB1082" s="3">
        <v>1.0416666666666601</v>
      </c>
      <c r="AC1082" s="3" t="str">
        <f t="shared" si="46"/>
        <v>01:00</v>
      </c>
      <c r="AD1082" s="3">
        <f t="shared" si="47"/>
        <v>4.1666666666666664E-2</v>
      </c>
      <c r="AE1082" s="1">
        <v>109</v>
      </c>
      <c r="AF1082" s="1">
        <v>10</v>
      </c>
      <c r="AG1082" s="1">
        <v>0</v>
      </c>
    </row>
    <row r="1083" spans="28:33" x14ac:dyDescent="0.3">
      <c r="AB1083" s="3">
        <v>1.04236111111111</v>
      </c>
      <c r="AC1083" s="3" t="str">
        <f t="shared" si="46"/>
        <v>01:01</v>
      </c>
      <c r="AD1083" s="3">
        <f t="shared" si="47"/>
        <v>4.2361111111111106E-2</v>
      </c>
      <c r="AE1083" s="1">
        <v>109</v>
      </c>
      <c r="AF1083" s="1">
        <v>10</v>
      </c>
      <c r="AG1083" s="1">
        <v>1</v>
      </c>
    </row>
    <row r="1084" spans="28:33" x14ac:dyDescent="0.3">
      <c r="AB1084" s="3">
        <v>1.0430555555555501</v>
      </c>
      <c r="AC1084" s="3" t="str">
        <f t="shared" si="46"/>
        <v>01:02</v>
      </c>
      <c r="AD1084" s="3">
        <f t="shared" si="47"/>
        <v>4.3055555555555562E-2</v>
      </c>
      <c r="AE1084" s="1">
        <v>109</v>
      </c>
      <c r="AF1084" s="1">
        <v>10</v>
      </c>
      <c r="AG1084" s="1">
        <v>2</v>
      </c>
    </row>
    <row r="1085" spans="28:33" x14ac:dyDescent="0.3">
      <c r="AB1085" s="3">
        <v>1.04375</v>
      </c>
      <c r="AC1085" s="3" t="str">
        <f t="shared" si="46"/>
        <v>01:03</v>
      </c>
      <c r="AD1085" s="3">
        <f t="shared" si="47"/>
        <v>4.3750000000000004E-2</v>
      </c>
      <c r="AE1085" s="1">
        <v>109</v>
      </c>
      <c r="AF1085" s="1">
        <v>10</v>
      </c>
      <c r="AG1085" s="1">
        <v>3</v>
      </c>
    </row>
    <row r="1086" spans="28:33" x14ac:dyDescent="0.3">
      <c r="AB1086" s="3">
        <v>1.0444444444444401</v>
      </c>
      <c r="AC1086" s="3" t="str">
        <f t="shared" si="46"/>
        <v>01:04</v>
      </c>
      <c r="AD1086" s="3">
        <f t="shared" si="47"/>
        <v>4.4444444444444446E-2</v>
      </c>
      <c r="AE1086" s="1">
        <v>109</v>
      </c>
      <c r="AF1086" s="1">
        <v>10</v>
      </c>
      <c r="AG1086" s="1">
        <v>4</v>
      </c>
    </row>
    <row r="1087" spans="28:33" x14ac:dyDescent="0.3">
      <c r="AB1087" s="3">
        <v>1.0451388888888899</v>
      </c>
      <c r="AC1087" s="3" t="str">
        <f t="shared" si="46"/>
        <v>01:05</v>
      </c>
      <c r="AD1087" s="3">
        <f t="shared" si="47"/>
        <v>4.5138888888888888E-2</v>
      </c>
      <c r="AE1087" s="1">
        <v>109</v>
      </c>
      <c r="AF1087" s="1">
        <v>10</v>
      </c>
      <c r="AG1087" s="1">
        <v>5</v>
      </c>
    </row>
    <row r="1088" spans="28:33" x14ac:dyDescent="0.3">
      <c r="AB1088" s="3">
        <v>1.0458333333333301</v>
      </c>
      <c r="AC1088" s="3" t="str">
        <f t="shared" si="46"/>
        <v>01:06</v>
      </c>
      <c r="AD1088" s="3">
        <f t="shared" si="47"/>
        <v>4.5833333333333337E-2</v>
      </c>
      <c r="AE1088" s="1">
        <v>109</v>
      </c>
      <c r="AF1088" s="1">
        <v>10</v>
      </c>
      <c r="AG1088" s="1">
        <v>6</v>
      </c>
    </row>
    <row r="1089" spans="28:33" x14ac:dyDescent="0.3">
      <c r="AB1089" s="3">
        <v>1.04652777777777</v>
      </c>
      <c r="AC1089" s="3" t="str">
        <f t="shared" si="46"/>
        <v>01:07</v>
      </c>
      <c r="AD1089" s="3">
        <f t="shared" si="47"/>
        <v>4.6527777777777779E-2</v>
      </c>
      <c r="AE1089" s="1">
        <v>109</v>
      </c>
      <c r="AF1089" s="1">
        <v>10</v>
      </c>
      <c r="AG1089" s="1">
        <v>7</v>
      </c>
    </row>
    <row r="1090" spans="28:33" x14ac:dyDescent="0.3">
      <c r="AB1090" s="3">
        <v>1.0472222222222201</v>
      </c>
      <c r="AC1090" s="3" t="str">
        <f t="shared" si="46"/>
        <v>01:08</v>
      </c>
      <c r="AD1090" s="3">
        <f t="shared" si="47"/>
        <v>4.7222222222222221E-2</v>
      </c>
      <c r="AE1090" s="1">
        <v>109</v>
      </c>
      <c r="AF1090" s="1">
        <v>10</v>
      </c>
      <c r="AG1090" s="1">
        <v>8</v>
      </c>
    </row>
    <row r="1091" spans="28:33" x14ac:dyDescent="0.3">
      <c r="AB1091" s="3">
        <v>1.0479166666666599</v>
      </c>
      <c r="AC1091" s="3" t="str">
        <f t="shared" ref="AC1091:AC1154" si="48">TEXT(AB1091,"hh:mm")</f>
        <v>01:09</v>
      </c>
      <c r="AD1091" s="3">
        <f t="shared" ref="AD1091:AD1154" si="49">VALUE(AC1091)</f>
        <v>4.7916666666666663E-2</v>
      </c>
      <c r="AE1091" s="1">
        <v>109</v>
      </c>
      <c r="AF1091" s="1">
        <v>10</v>
      </c>
      <c r="AG1091" s="1">
        <v>9</v>
      </c>
    </row>
    <row r="1092" spans="28:33" x14ac:dyDescent="0.3">
      <c r="AB1092" s="3">
        <v>1.0486111111111101</v>
      </c>
      <c r="AC1092" s="3" t="str">
        <f t="shared" si="48"/>
        <v>01:10</v>
      </c>
      <c r="AD1092" s="3">
        <f t="shared" si="49"/>
        <v>4.8611111111111112E-2</v>
      </c>
      <c r="AE1092" s="1">
        <v>110</v>
      </c>
      <c r="AF1092" s="1">
        <v>10</v>
      </c>
      <c r="AG1092" s="1">
        <v>0</v>
      </c>
    </row>
    <row r="1093" spans="28:33" x14ac:dyDescent="0.3">
      <c r="AB1093" s="3">
        <v>1.0493055555555499</v>
      </c>
      <c r="AC1093" s="3" t="str">
        <f t="shared" si="48"/>
        <v>01:11</v>
      </c>
      <c r="AD1093" s="3">
        <f t="shared" si="49"/>
        <v>4.9305555555555554E-2</v>
      </c>
      <c r="AE1093" s="1">
        <v>110</v>
      </c>
      <c r="AF1093" s="1">
        <v>10</v>
      </c>
      <c r="AG1093" s="1">
        <v>1</v>
      </c>
    </row>
    <row r="1094" spans="28:33" x14ac:dyDescent="0.3">
      <c r="AB1094" s="3">
        <v>1.05</v>
      </c>
      <c r="AC1094" s="3" t="str">
        <f t="shared" si="48"/>
        <v>01:12</v>
      </c>
      <c r="AD1094" s="3">
        <f t="shared" si="49"/>
        <v>4.9999999999999996E-2</v>
      </c>
      <c r="AE1094" s="1">
        <v>110</v>
      </c>
      <c r="AF1094" s="1">
        <v>10</v>
      </c>
      <c r="AG1094" s="1">
        <v>2</v>
      </c>
    </row>
    <row r="1095" spans="28:33" x14ac:dyDescent="0.3">
      <c r="AB1095" s="3">
        <v>1.0506944444444399</v>
      </c>
      <c r="AC1095" s="3" t="str">
        <f t="shared" si="48"/>
        <v>01:13</v>
      </c>
      <c r="AD1095" s="3">
        <f t="shared" si="49"/>
        <v>5.0694444444444452E-2</v>
      </c>
      <c r="AE1095" s="1">
        <v>110</v>
      </c>
      <c r="AF1095" s="1">
        <v>10</v>
      </c>
      <c r="AG1095" s="1">
        <v>3</v>
      </c>
    </row>
    <row r="1096" spans="28:33" x14ac:dyDescent="0.3">
      <c r="AB1096" s="3">
        <v>1.05138888888889</v>
      </c>
      <c r="AC1096" s="3" t="str">
        <f t="shared" si="48"/>
        <v>01:14</v>
      </c>
      <c r="AD1096" s="3">
        <f t="shared" si="49"/>
        <v>5.1388888888888894E-2</v>
      </c>
      <c r="AE1096" s="1">
        <v>110</v>
      </c>
      <c r="AF1096" s="1">
        <v>10</v>
      </c>
      <c r="AG1096" s="1">
        <v>4</v>
      </c>
    </row>
    <row r="1097" spans="28:33" x14ac:dyDescent="0.3">
      <c r="AB1097" s="3">
        <v>1.0520833333333299</v>
      </c>
      <c r="AC1097" s="3" t="str">
        <f t="shared" si="48"/>
        <v>01:15</v>
      </c>
      <c r="AD1097" s="3">
        <f t="shared" si="49"/>
        <v>5.2083333333333336E-2</v>
      </c>
      <c r="AE1097" s="1">
        <v>110</v>
      </c>
      <c r="AF1097" s="1">
        <v>10</v>
      </c>
      <c r="AG1097" s="1">
        <v>5</v>
      </c>
    </row>
    <row r="1098" spans="28:33" x14ac:dyDescent="0.3">
      <c r="AB1098" s="3">
        <v>1.05277777777777</v>
      </c>
      <c r="AC1098" s="3" t="str">
        <f t="shared" si="48"/>
        <v>01:16</v>
      </c>
      <c r="AD1098" s="3">
        <f t="shared" si="49"/>
        <v>5.2777777777777778E-2</v>
      </c>
      <c r="AE1098" s="1">
        <v>110</v>
      </c>
      <c r="AF1098" s="1">
        <v>10</v>
      </c>
      <c r="AG1098" s="1">
        <v>6</v>
      </c>
    </row>
    <row r="1099" spans="28:33" x14ac:dyDescent="0.3">
      <c r="AB1099" s="3">
        <v>1.0534722222222199</v>
      </c>
      <c r="AC1099" s="3" t="str">
        <f t="shared" si="48"/>
        <v>01:17</v>
      </c>
      <c r="AD1099" s="3">
        <f t="shared" si="49"/>
        <v>5.347222222222222E-2</v>
      </c>
      <c r="AE1099" s="1">
        <v>110</v>
      </c>
      <c r="AF1099" s="1">
        <v>10</v>
      </c>
      <c r="AG1099" s="1">
        <v>7</v>
      </c>
    </row>
    <row r="1100" spans="28:33" x14ac:dyDescent="0.3">
      <c r="AB1100" s="3">
        <v>1.05416666666666</v>
      </c>
      <c r="AC1100" s="3" t="str">
        <f t="shared" si="48"/>
        <v>01:18</v>
      </c>
      <c r="AD1100" s="3">
        <f t="shared" si="49"/>
        <v>5.4166666666666669E-2</v>
      </c>
      <c r="AE1100" s="1">
        <v>110</v>
      </c>
      <c r="AF1100" s="1">
        <v>10</v>
      </c>
      <c r="AG1100" s="1">
        <v>8</v>
      </c>
    </row>
    <row r="1101" spans="28:33" x14ac:dyDescent="0.3">
      <c r="AB1101" s="3">
        <v>1.0548611111111099</v>
      </c>
      <c r="AC1101" s="3" t="str">
        <f t="shared" si="48"/>
        <v>01:19</v>
      </c>
      <c r="AD1101" s="3">
        <f t="shared" si="49"/>
        <v>5.486111111111111E-2</v>
      </c>
      <c r="AE1101" s="1">
        <v>110</v>
      </c>
      <c r="AF1101" s="1">
        <v>10</v>
      </c>
      <c r="AG1101" s="1">
        <v>9</v>
      </c>
    </row>
    <row r="1102" spans="28:33" x14ac:dyDescent="0.3">
      <c r="AB1102" s="3">
        <v>1.05555555555555</v>
      </c>
      <c r="AC1102" s="3" t="str">
        <f t="shared" si="48"/>
        <v>01:20</v>
      </c>
      <c r="AD1102" s="3">
        <f t="shared" si="49"/>
        <v>5.5555555555555552E-2</v>
      </c>
      <c r="AE1102" s="1">
        <v>111</v>
      </c>
      <c r="AF1102" s="1">
        <v>10</v>
      </c>
      <c r="AG1102" s="1">
        <v>0</v>
      </c>
    </row>
    <row r="1103" spans="28:33" x14ac:dyDescent="0.3">
      <c r="AB1103" s="3">
        <v>1.0562499999999999</v>
      </c>
      <c r="AC1103" s="3" t="str">
        <f t="shared" si="48"/>
        <v>01:21</v>
      </c>
      <c r="AD1103" s="3">
        <f t="shared" si="49"/>
        <v>5.6250000000000001E-2</v>
      </c>
      <c r="AE1103" s="1">
        <v>111</v>
      </c>
      <c r="AF1103" s="1">
        <v>10</v>
      </c>
      <c r="AG1103" s="1">
        <v>1</v>
      </c>
    </row>
    <row r="1104" spans="28:33" x14ac:dyDescent="0.3">
      <c r="AB1104" s="3">
        <v>1.05694444444444</v>
      </c>
      <c r="AC1104" s="3" t="str">
        <f t="shared" si="48"/>
        <v>01:22</v>
      </c>
      <c r="AD1104" s="3">
        <f t="shared" si="49"/>
        <v>5.6944444444444443E-2</v>
      </c>
      <c r="AE1104" s="1">
        <v>111</v>
      </c>
      <c r="AF1104" s="1">
        <v>10</v>
      </c>
      <c r="AG1104" s="1">
        <v>2</v>
      </c>
    </row>
    <row r="1105" spans="28:33" x14ac:dyDescent="0.3">
      <c r="AB1105" s="3">
        <v>1.0576388888888899</v>
      </c>
      <c r="AC1105" s="3" t="str">
        <f t="shared" si="48"/>
        <v>01:23</v>
      </c>
      <c r="AD1105" s="3">
        <f t="shared" si="49"/>
        <v>5.7638888888888885E-2</v>
      </c>
      <c r="AE1105" s="1">
        <v>111</v>
      </c>
      <c r="AF1105" s="1">
        <v>10</v>
      </c>
      <c r="AG1105" s="1">
        <v>3</v>
      </c>
    </row>
    <row r="1106" spans="28:33" x14ac:dyDescent="0.3">
      <c r="AB1106" s="3">
        <v>1.05833333333333</v>
      </c>
      <c r="AC1106" s="3" t="str">
        <f t="shared" si="48"/>
        <v>01:24</v>
      </c>
      <c r="AD1106" s="3">
        <f t="shared" si="49"/>
        <v>5.8333333333333327E-2</v>
      </c>
      <c r="AE1106" s="1">
        <v>111</v>
      </c>
      <c r="AF1106" s="1">
        <v>10</v>
      </c>
      <c r="AG1106" s="1">
        <v>4</v>
      </c>
    </row>
    <row r="1107" spans="28:33" x14ac:dyDescent="0.3">
      <c r="AB1107" s="3">
        <v>1.0590277777777699</v>
      </c>
      <c r="AC1107" s="3" t="str">
        <f t="shared" si="48"/>
        <v>01:25</v>
      </c>
      <c r="AD1107" s="3">
        <f t="shared" si="49"/>
        <v>5.9027777777777783E-2</v>
      </c>
      <c r="AE1107" s="1">
        <v>111</v>
      </c>
      <c r="AF1107" s="1">
        <v>10</v>
      </c>
      <c r="AG1107" s="1">
        <v>5</v>
      </c>
    </row>
    <row r="1108" spans="28:33" x14ac:dyDescent="0.3">
      <c r="AB1108" s="3">
        <v>1.05972222222222</v>
      </c>
      <c r="AC1108" s="3" t="str">
        <f t="shared" si="48"/>
        <v>01:26</v>
      </c>
      <c r="AD1108" s="3">
        <f t="shared" si="49"/>
        <v>5.9722222222222225E-2</v>
      </c>
      <c r="AE1108" s="1">
        <v>111</v>
      </c>
      <c r="AF1108" s="1">
        <v>10</v>
      </c>
      <c r="AG1108" s="1">
        <v>6</v>
      </c>
    </row>
    <row r="1109" spans="28:33" x14ac:dyDescent="0.3">
      <c r="AB1109" s="3">
        <v>1.0604166666666599</v>
      </c>
      <c r="AC1109" s="3" t="str">
        <f t="shared" si="48"/>
        <v>01:27</v>
      </c>
      <c r="AD1109" s="3">
        <f t="shared" si="49"/>
        <v>6.0416666666666667E-2</v>
      </c>
      <c r="AE1109" s="1">
        <v>111</v>
      </c>
      <c r="AF1109" s="1">
        <v>10</v>
      </c>
      <c r="AG1109" s="1">
        <v>7</v>
      </c>
    </row>
    <row r="1110" spans="28:33" x14ac:dyDescent="0.3">
      <c r="AB1110" s="3">
        <v>1.06111111111111</v>
      </c>
      <c r="AC1110" s="3" t="str">
        <f t="shared" si="48"/>
        <v>01:28</v>
      </c>
      <c r="AD1110" s="3">
        <f t="shared" si="49"/>
        <v>6.1111111111111116E-2</v>
      </c>
      <c r="AE1110" s="1">
        <v>111</v>
      </c>
      <c r="AF1110" s="1">
        <v>10</v>
      </c>
      <c r="AG1110" s="1">
        <v>8</v>
      </c>
    </row>
    <row r="1111" spans="28:33" x14ac:dyDescent="0.3">
      <c r="AB1111" s="3">
        <v>1.0618055555555499</v>
      </c>
      <c r="AC1111" s="3" t="str">
        <f t="shared" si="48"/>
        <v>01:29</v>
      </c>
      <c r="AD1111" s="3">
        <f t="shared" si="49"/>
        <v>6.1805555555555558E-2</v>
      </c>
      <c r="AE1111" s="1">
        <v>111</v>
      </c>
      <c r="AF1111" s="1">
        <v>10</v>
      </c>
      <c r="AG1111" s="1">
        <v>9</v>
      </c>
    </row>
    <row r="1112" spans="28:33" x14ac:dyDescent="0.3">
      <c r="AB1112" s="3">
        <v>1.0625</v>
      </c>
      <c r="AC1112" s="3" t="str">
        <f t="shared" si="48"/>
        <v>01:30</v>
      </c>
      <c r="AD1112" s="3">
        <f t="shared" si="49"/>
        <v>6.25E-2</v>
      </c>
      <c r="AE1112" s="1">
        <v>112</v>
      </c>
      <c r="AF1112" s="1">
        <v>10</v>
      </c>
      <c r="AG1112" s="1">
        <v>0</v>
      </c>
    </row>
    <row r="1113" spans="28:33" x14ac:dyDescent="0.3">
      <c r="AB1113" s="3">
        <v>1.0631944444444399</v>
      </c>
      <c r="AC1113" s="3" t="str">
        <f t="shared" si="48"/>
        <v>01:31</v>
      </c>
      <c r="AD1113" s="3">
        <f t="shared" si="49"/>
        <v>6.3194444444444442E-2</v>
      </c>
      <c r="AE1113" s="1">
        <v>112</v>
      </c>
      <c r="AF1113" s="1">
        <v>10</v>
      </c>
      <c r="AG1113" s="1">
        <v>1</v>
      </c>
    </row>
    <row r="1114" spans="28:33" x14ac:dyDescent="0.3">
      <c r="AB1114" s="3">
        <v>1.06388888888889</v>
      </c>
      <c r="AC1114" s="3" t="str">
        <f t="shared" si="48"/>
        <v>01:32</v>
      </c>
      <c r="AD1114" s="3">
        <f t="shared" si="49"/>
        <v>6.3888888888888884E-2</v>
      </c>
      <c r="AE1114" s="1">
        <v>112</v>
      </c>
      <c r="AF1114" s="1">
        <v>10</v>
      </c>
      <c r="AG1114" s="1">
        <v>2</v>
      </c>
    </row>
    <row r="1115" spans="28:33" x14ac:dyDescent="0.3">
      <c r="AB1115" s="3">
        <v>1.0645833333333301</v>
      </c>
      <c r="AC1115" s="3" t="str">
        <f t="shared" si="48"/>
        <v>01:33</v>
      </c>
      <c r="AD1115" s="3">
        <f t="shared" si="49"/>
        <v>6.458333333333334E-2</v>
      </c>
      <c r="AE1115" s="1">
        <v>112</v>
      </c>
      <c r="AF1115" s="1">
        <v>10</v>
      </c>
      <c r="AG1115" s="1">
        <v>3</v>
      </c>
    </row>
    <row r="1116" spans="28:33" x14ac:dyDescent="0.3">
      <c r="AB1116" s="3">
        <v>1.06527777777777</v>
      </c>
      <c r="AC1116" s="3" t="str">
        <f t="shared" si="48"/>
        <v>01:34</v>
      </c>
      <c r="AD1116" s="3">
        <f t="shared" si="49"/>
        <v>6.5277777777777782E-2</v>
      </c>
      <c r="AE1116" s="1">
        <v>112</v>
      </c>
      <c r="AF1116" s="1">
        <v>10</v>
      </c>
      <c r="AG1116" s="1">
        <v>4</v>
      </c>
    </row>
    <row r="1117" spans="28:33" x14ac:dyDescent="0.3">
      <c r="AB1117" s="3">
        <v>1.0659722222222201</v>
      </c>
      <c r="AC1117" s="3" t="str">
        <f t="shared" si="48"/>
        <v>01:35</v>
      </c>
      <c r="AD1117" s="3">
        <f t="shared" si="49"/>
        <v>6.5972222222222224E-2</v>
      </c>
      <c r="AE1117" s="1">
        <v>112</v>
      </c>
      <c r="AF1117" s="1">
        <v>10</v>
      </c>
      <c r="AG1117" s="1">
        <v>5</v>
      </c>
    </row>
    <row r="1118" spans="28:33" x14ac:dyDescent="0.3">
      <c r="AB1118" s="3">
        <v>1.06666666666666</v>
      </c>
      <c r="AC1118" s="3" t="str">
        <f t="shared" si="48"/>
        <v>01:36</v>
      </c>
      <c r="AD1118" s="3">
        <f t="shared" si="49"/>
        <v>6.6666666666666666E-2</v>
      </c>
      <c r="AE1118" s="1">
        <v>112</v>
      </c>
      <c r="AF1118" s="1">
        <v>10</v>
      </c>
      <c r="AG1118" s="1">
        <v>6</v>
      </c>
    </row>
    <row r="1119" spans="28:33" x14ac:dyDescent="0.3">
      <c r="AB1119" s="3">
        <v>1.0673611111111101</v>
      </c>
      <c r="AC1119" s="3" t="str">
        <f t="shared" si="48"/>
        <v>01:37</v>
      </c>
      <c r="AD1119" s="3">
        <f t="shared" si="49"/>
        <v>6.7361111111111108E-2</v>
      </c>
      <c r="AE1119" s="1">
        <v>112</v>
      </c>
      <c r="AF1119" s="1">
        <v>10</v>
      </c>
      <c r="AG1119" s="1">
        <v>7</v>
      </c>
    </row>
    <row r="1120" spans="28:33" x14ac:dyDescent="0.3">
      <c r="AB1120" s="3">
        <v>1.06805555555555</v>
      </c>
      <c r="AC1120" s="3" t="str">
        <f t="shared" si="48"/>
        <v>01:38</v>
      </c>
      <c r="AD1120" s="3">
        <f t="shared" si="49"/>
        <v>6.805555555555555E-2</v>
      </c>
      <c r="AE1120" s="1">
        <v>112</v>
      </c>
      <c r="AF1120" s="1">
        <v>10</v>
      </c>
      <c r="AG1120" s="1">
        <v>8</v>
      </c>
    </row>
    <row r="1121" spans="28:33" x14ac:dyDescent="0.3">
      <c r="AB1121" s="3">
        <v>1.0687500000000001</v>
      </c>
      <c r="AC1121" s="3" t="str">
        <f t="shared" si="48"/>
        <v>01:39</v>
      </c>
      <c r="AD1121" s="3">
        <f t="shared" si="49"/>
        <v>6.8749999999999992E-2</v>
      </c>
      <c r="AE1121" s="1">
        <v>112</v>
      </c>
      <c r="AF1121" s="1">
        <v>10</v>
      </c>
      <c r="AG1121" s="1">
        <v>9</v>
      </c>
    </row>
    <row r="1122" spans="28:33" x14ac:dyDescent="0.3">
      <c r="AB1122" s="3">
        <v>1.06944444444444</v>
      </c>
      <c r="AC1122" s="3" t="str">
        <f t="shared" si="48"/>
        <v>01:40</v>
      </c>
      <c r="AD1122" s="3">
        <f t="shared" si="49"/>
        <v>6.9444444444444434E-2</v>
      </c>
      <c r="AE1122" s="1">
        <v>113</v>
      </c>
      <c r="AF1122" s="1">
        <v>10</v>
      </c>
      <c r="AG1122" s="1">
        <v>0</v>
      </c>
    </row>
    <row r="1123" spans="28:33" x14ac:dyDescent="0.3">
      <c r="AB1123" s="3">
        <v>1.0701388888888901</v>
      </c>
      <c r="AC1123" s="3" t="str">
        <f t="shared" si="48"/>
        <v>01:41</v>
      </c>
      <c r="AD1123" s="3">
        <f t="shared" si="49"/>
        <v>7.013888888888889E-2</v>
      </c>
      <c r="AE1123" s="1">
        <v>113</v>
      </c>
      <c r="AF1123" s="1">
        <v>10</v>
      </c>
      <c r="AG1123" s="1">
        <v>1</v>
      </c>
    </row>
    <row r="1124" spans="28:33" x14ac:dyDescent="0.3">
      <c r="AB1124" s="3">
        <v>1.07083333333333</v>
      </c>
      <c r="AC1124" s="3" t="str">
        <f t="shared" si="48"/>
        <v>01:42</v>
      </c>
      <c r="AD1124" s="3">
        <f t="shared" si="49"/>
        <v>7.0833333333333331E-2</v>
      </c>
      <c r="AE1124" s="1">
        <v>113</v>
      </c>
      <c r="AF1124" s="1">
        <v>10</v>
      </c>
      <c r="AG1124" s="1">
        <v>2</v>
      </c>
    </row>
    <row r="1125" spans="28:33" x14ac:dyDescent="0.3">
      <c r="AB1125" s="3">
        <v>1.0715277777777701</v>
      </c>
      <c r="AC1125" s="3" t="str">
        <f t="shared" si="48"/>
        <v>01:43</v>
      </c>
      <c r="AD1125" s="3">
        <f t="shared" si="49"/>
        <v>7.1527777777777787E-2</v>
      </c>
      <c r="AE1125" s="1">
        <v>113</v>
      </c>
      <c r="AF1125" s="1">
        <v>10</v>
      </c>
      <c r="AG1125" s="1">
        <v>3</v>
      </c>
    </row>
    <row r="1126" spans="28:33" x14ac:dyDescent="0.3">
      <c r="AB1126" s="3">
        <v>1.07222222222222</v>
      </c>
      <c r="AC1126" s="3" t="str">
        <f t="shared" si="48"/>
        <v>01:44</v>
      </c>
      <c r="AD1126" s="3">
        <f t="shared" si="49"/>
        <v>7.2222222222222229E-2</v>
      </c>
      <c r="AE1126" s="1">
        <v>113</v>
      </c>
      <c r="AF1126" s="1">
        <v>10</v>
      </c>
      <c r="AG1126" s="1">
        <v>4</v>
      </c>
    </row>
    <row r="1127" spans="28:33" x14ac:dyDescent="0.3">
      <c r="AB1127" s="3">
        <v>1.0729166666666601</v>
      </c>
      <c r="AC1127" s="3" t="str">
        <f t="shared" si="48"/>
        <v>01:45</v>
      </c>
      <c r="AD1127" s="3">
        <f t="shared" si="49"/>
        <v>7.2916666666666671E-2</v>
      </c>
      <c r="AE1127" s="1">
        <v>113</v>
      </c>
      <c r="AF1127" s="1">
        <v>10</v>
      </c>
      <c r="AG1127" s="1">
        <v>5</v>
      </c>
    </row>
    <row r="1128" spans="28:33" x14ac:dyDescent="0.3">
      <c r="AB1128" s="3">
        <v>1.07361111111111</v>
      </c>
      <c r="AC1128" s="3" t="str">
        <f t="shared" si="48"/>
        <v>01:46</v>
      </c>
      <c r="AD1128" s="3">
        <f t="shared" si="49"/>
        <v>7.3611111111111113E-2</v>
      </c>
      <c r="AE1128" s="1">
        <v>113</v>
      </c>
      <c r="AF1128" s="1">
        <v>10</v>
      </c>
      <c r="AG1128" s="1">
        <v>6</v>
      </c>
    </row>
    <row r="1129" spans="28:33" x14ac:dyDescent="0.3">
      <c r="AB1129" s="3">
        <v>1.0743055555555501</v>
      </c>
      <c r="AC1129" s="3" t="str">
        <f t="shared" si="48"/>
        <v>01:47</v>
      </c>
      <c r="AD1129" s="3">
        <f t="shared" si="49"/>
        <v>7.4305555555555555E-2</v>
      </c>
      <c r="AE1129" s="1">
        <v>113</v>
      </c>
      <c r="AF1129" s="1">
        <v>10</v>
      </c>
      <c r="AG1129" s="1">
        <v>7</v>
      </c>
    </row>
    <row r="1130" spans="28:33" x14ac:dyDescent="0.3">
      <c r="AB1130" s="3">
        <v>1.075</v>
      </c>
      <c r="AC1130" s="3" t="str">
        <f t="shared" si="48"/>
        <v>01:48</v>
      </c>
      <c r="AD1130" s="3">
        <f t="shared" si="49"/>
        <v>7.4999999999999997E-2</v>
      </c>
      <c r="AE1130" s="1">
        <v>113</v>
      </c>
      <c r="AF1130" s="1">
        <v>10</v>
      </c>
      <c r="AG1130" s="1">
        <v>8</v>
      </c>
    </row>
    <row r="1131" spans="28:33" x14ac:dyDescent="0.3">
      <c r="AB1131" s="3">
        <v>1.0756944444444401</v>
      </c>
      <c r="AC1131" s="3" t="str">
        <f t="shared" si="48"/>
        <v>01:49</v>
      </c>
      <c r="AD1131" s="3">
        <f t="shared" si="49"/>
        <v>7.5694444444444439E-2</v>
      </c>
      <c r="AE1131" s="1">
        <v>113</v>
      </c>
      <c r="AF1131" s="1">
        <v>10</v>
      </c>
      <c r="AG1131" s="1">
        <v>9</v>
      </c>
    </row>
    <row r="1132" spans="28:33" x14ac:dyDescent="0.3">
      <c r="AB1132" s="3">
        <v>1.0763888888888899</v>
      </c>
      <c r="AC1132" s="3" t="str">
        <f t="shared" si="48"/>
        <v>01:50</v>
      </c>
      <c r="AD1132" s="3">
        <f t="shared" si="49"/>
        <v>7.6388888888888895E-2</v>
      </c>
      <c r="AE1132" s="1">
        <v>114</v>
      </c>
      <c r="AF1132" s="1">
        <v>10</v>
      </c>
      <c r="AG1132" s="1">
        <v>0</v>
      </c>
    </row>
    <row r="1133" spans="28:33" x14ac:dyDescent="0.3">
      <c r="AB1133" s="3">
        <v>1.0770833333333301</v>
      </c>
      <c r="AC1133" s="3" t="str">
        <f t="shared" si="48"/>
        <v>01:51</v>
      </c>
      <c r="AD1133" s="3">
        <f t="shared" si="49"/>
        <v>7.7083333333333337E-2</v>
      </c>
      <c r="AE1133" s="1">
        <v>114</v>
      </c>
      <c r="AF1133" s="1">
        <v>10</v>
      </c>
      <c r="AG1133" s="1">
        <v>1</v>
      </c>
    </row>
    <row r="1134" spans="28:33" x14ac:dyDescent="0.3">
      <c r="AB1134" s="3">
        <v>1.07777777777777</v>
      </c>
      <c r="AC1134" s="3" t="str">
        <f t="shared" si="48"/>
        <v>01:52</v>
      </c>
      <c r="AD1134" s="3">
        <f t="shared" si="49"/>
        <v>7.7777777777777779E-2</v>
      </c>
      <c r="AE1134" s="1">
        <v>114</v>
      </c>
      <c r="AF1134" s="1">
        <v>10</v>
      </c>
      <c r="AG1134" s="1">
        <v>2</v>
      </c>
    </row>
    <row r="1135" spans="28:33" x14ac:dyDescent="0.3">
      <c r="AB1135" s="3">
        <v>1.0784722222222201</v>
      </c>
      <c r="AC1135" s="3" t="str">
        <f t="shared" si="48"/>
        <v>01:53</v>
      </c>
      <c r="AD1135" s="3">
        <f t="shared" si="49"/>
        <v>7.8472222222222221E-2</v>
      </c>
      <c r="AE1135" s="1">
        <v>114</v>
      </c>
      <c r="AF1135" s="1">
        <v>10</v>
      </c>
      <c r="AG1135" s="1">
        <v>3</v>
      </c>
    </row>
    <row r="1136" spans="28:33" x14ac:dyDescent="0.3">
      <c r="AB1136" s="3">
        <v>1.0791666666666599</v>
      </c>
      <c r="AC1136" s="3" t="str">
        <f t="shared" si="48"/>
        <v>01:54</v>
      </c>
      <c r="AD1136" s="3">
        <f t="shared" si="49"/>
        <v>7.9166666666666663E-2</v>
      </c>
      <c r="AE1136" s="1">
        <v>114</v>
      </c>
      <c r="AF1136" s="1">
        <v>10</v>
      </c>
      <c r="AG1136" s="1">
        <v>4</v>
      </c>
    </row>
    <row r="1137" spans="28:33" x14ac:dyDescent="0.3">
      <c r="AB1137" s="3">
        <v>1.0798611111111101</v>
      </c>
      <c r="AC1137" s="3" t="str">
        <f t="shared" si="48"/>
        <v>01:55</v>
      </c>
      <c r="AD1137" s="3">
        <f t="shared" si="49"/>
        <v>7.9861111111111105E-2</v>
      </c>
      <c r="AE1137" s="1">
        <v>114</v>
      </c>
      <c r="AF1137" s="1">
        <v>10</v>
      </c>
      <c r="AG1137" s="1">
        <v>5</v>
      </c>
    </row>
    <row r="1138" spans="28:33" x14ac:dyDescent="0.3">
      <c r="AB1138" s="3">
        <v>1.0805555555555499</v>
      </c>
      <c r="AC1138" s="3" t="str">
        <f t="shared" si="48"/>
        <v>01:56</v>
      </c>
      <c r="AD1138" s="3">
        <f t="shared" si="49"/>
        <v>8.0555555555555561E-2</v>
      </c>
      <c r="AE1138" s="1">
        <v>114</v>
      </c>
      <c r="AF1138" s="1">
        <v>10</v>
      </c>
      <c r="AG1138" s="1">
        <v>6</v>
      </c>
    </row>
    <row r="1139" spans="28:33" x14ac:dyDescent="0.3">
      <c r="AB1139" s="3">
        <v>1.08125</v>
      </c>
      <c r="AC1139" s="3" t="str">
        <f t="shared" si="48"/>
        <v>01:57</v>
      </c>
      <c r="AD1139" s="3">
        <f t="shared" si="49"/>
        <v>8.1250000000000003E-2</v>
      </c>
      <c r="AE1139" s="1">
        <v>114</v>
      </c>
      <c r="AF1139" s="1">
        <v>10</v>
      </c>
      <c r="AG1139" s="1">
        <v>7</v>
      </c>
    </row>
    <row r="1140" spans="28:33" x14ac:dyDescent="0.3">
      <c r="AB1140" s="3">
        <v>1.0819444444444399</v>
      </c>
      <c r="AC1140" s="3" t="str">
        <f t="shared" si="48"/>
        <v>01:58</v>
      </c>
      <c r="AD1140" s="3">
        <f t="shared" si="49"/>
        <v>8.1944444444444445E-2</v>
      </c>
      <c r="AE1140" s="1">
        <v>114</v>
      </c>
      <c r="AF1140" s="1">
        <v>10</v>
      </c>
      <c r="AG1140" s="1">
        <v>8</v>
      </c>
    </row>
    <row r="1141" spans="28:33" x14ac:dyDescent="0.3">
      <c r="AB1141" s="3">
        <v>1.08263888888889</v>
      </c>
      <c r="AC1141" s="3" t="str">
        <f t="shared" si="48"/>
        <v>01:59</v>
      </c>
      <c r="AD1141" s="3">
        <f t="shared" si="49"/>
        <v>8.2638888888888887E-2</v>
      </c>
      <c r="AE1141" s="1">
        <v>114</v>
      </c>
      <c r="AF1141" s="1">
        <v>10</v>
      </c>
      <c r="AG1141" s="1">
        <v>9</v>
      </c>
    </row>
    <row r="1142" spans="28:33" x14ac:dyDescent="0.3">
      <c r="AB1142" s="3">
        <v>1.0833333333333299</v>
      </c>
      <c r="AC1142" s="3" t="str">
        <f t="shared" si="48"/>
        <v>02:00</v>
      </c>
      <c r="AD1142" s="3">
        <f t="shared" si="49"/>
        <v>8.3333333333333329E-2</v>
      </c>
      <c r="AE1142" s="1">
        <v>115</v>
      </c>
      <c r="AF1142" s="1">
        <v>10</v>
      </c>
      <c r="AG1142" s="1">
        <v>0</v>
      </c>
    </row>
    <row r="1143" spans="28:33" x14ac:dyDescent="0.3">
      <c r="AB1143" s="3">
        <v>1.08402777777777</v>
      </c>
      <c r="AC1143" s="3" t="str">
        <f t="shared" si="48"/>
        <v>02:01</v>
      </c>
      <c r="AD1143" s="3">
        <f t="shared" si="49"/>
        <v>8.4027777777777771E-2</v>
      </c>
      <c r="AE1143" s="1">
        <v>115</v>
      </c>
      <c r="AF1143" s="1">
        <v>10</v>
      </c>
      <c r="AG1143" s="1">
        <v>1</v>
      </c>
    </row>
    <row r="1144" spans="28:33" x14ac:dyDescent="0.3">
      <c r="AB1144" s="3">
        <v>1.0847222222222199</v>
      </c>
      <c r="AC1144" s="3" t="str">
        <f t="shared" si="48"/>
        <v>02:02</v>
      </c>
      <c r="AD1144" s="3">
        <f t="shared" si="49"/>
        <v>8.4722222222222213E-2</v>
      </c>
      <c r="AE1144" s="1">
        <v>115</v>
      </c>
      <c r="AF1144" s="1">
        <v>10</v>
      </c>
      <c r="AG1144" s="1">
        <v>2</v>
      </c>
    </row>
    <row r="1145" spans="28:33" x14ac:dyDescent="0.3">
      <c r="AB1145" s="3">
        <v>1.08541666666666</v>
      </c>
      <c r="AC1145" s="3" t="str">
        <f t="shared" si="48"/>
        <v>02:03</v>
      </c>
      <c r="AD1145" s="3">
        <f t="shared" si="49"/>
        <v>8.5416666666666655E-2</v>
      </c>
      <c r="AE1145" s="1">
        <v>115</v>
      </c>
      <c r="AF1145" s="1">
        <v>10</v>
      </c>
      <c r="AG1145" s="1">
        <v>3</v>
      </c>
    </row>
    <row r="1146" spans="28:33" x14ac:dyDescent="0.3">
      <c r="AB1146" s="3">
        <v>1.0861111111111099</v>
      </c>
      <c r="AC1146" s="3" t="str">
        <f t="shared" si="48"/>
        <v>02:04</v>
      </c>
      <c r="AD1146" s="3">
        <f t="shared" si="49"/>
        <v>8.6111111111111124E-2</v>
      </c>
      <c r="AE1146" s="1">
        <v>115</v>
      </c>
      <c r="AF1146" s="1">
        <v>10</v>
      </c>
      <c r="AG1146" s="1">
        <v>4</v>
      </c>
    </row>
    <row r="1147" spans="28:33" x14ac:dyDescent="0.3">
      <c r="AB1147" s="3">
        <v>1.08680555555555</v>
      </c>
      <c r="AC1147" s="3" t="str">
        <f t="shared" si="48"/>
        <v>02:05</v>
      </c>
      <c r="AD1147" s="3">
        <f t="shared" si="49"/>
        <v>8.6805555555555566E-2</v>
      </c>
      <c r="AE1147" s="1">
        <v>115</v>
      </c>
      <c r="AF1147" s="1">
        <v>10</v>
      </c>
      <c r="AG1147" s="1">
        <v>5</v>
      </c>
    </row>
    <row r="1148" spans="28:33" x14ac:dyDescent="0.3">
      <c r="AB1148" s="3">
        <v>1.0874999999999999</v>
      </c>
      <c r="AC1148" s="3" t="str">
        <f t="shared" si="48"/>
        <v>02:06</v>
      </c>
      <c r="AD1148" s="3">
        <f t="shared" si="49"/>
        <v>8.7500000000000008E-2</v>
      </c>
      <c r="AE1148" s="1">
        <v>115</v>
      </c>
      <c r="AF1148" s="1">
        <v>10</v>
      </c>
      <c r="AG1148" s="1">
        <v>6</v>
      </c>
    </row>
    <row r="1149" spans="28:33" x14ac:dyDescent="0.3">
      <c r="AB1149" s="3">
        <v>1.08819444444444</v>
      </c>
      <c r="AC1149" s="3" t="str">
        <f t="shared" si="48"/>
        <v>02:07</v>
      </c>
      <c r="AD1149" s="3">
        <f t="shared" si="49"/>
        <v>8.819444444444445E-2</v>
      </c>
      <c r="AE1149" s="1">
        <v>115</v>
      </c>
      <c r="AF1149" s="1">
        <v>10</v>
      </c>
      <c r="AG1149" s="1">
        <v>7</v>
      </c>
    </row>
    <row r="1150" spans="28:33" x14ac:dyDescent="0.3">
      <c r="AB1150" s="3">
        <v>1.0888888888888899</v>
      </c>
      <c r="AC1150" s="3" t="str">
        <f t="shared" si="48"/>
        <v>02:08</v>
      </c>
      <c r="AD1150" s="3">
        <f t="shared" si="49"/>
        <v>8.8888888888888892E-2</v>
      </c>
      <c r="AE1150" s="1">
        <v>115</v>
      </c>
      <c r="AF1150" s="1">
        <v>10</v>
      </c>
      <c r="AG1150" s="1">
        <v>8</v>
      </c>
    </row>
    <row r="1151" spans="28:33" x14ac:dyDescent="0.3">
      <c r="AB1151" s="3">
        <v>1.08958333333333</v>
      </c>
      <c r="AC1151" s="3" t="str">
        <f t="shared" si="48"/>
        <v>02:09</v>
      </c>
      <c r="AD1151" s="3">
        <f t="shared" si="49"/>
        <v>8.9583333333333334E-2</v>
      </c>
      <c r="AE1151" s="1">
        <v>115</v>
      </c>
      <c r="AF1151" s="1">
        <v>10</v>
      </c>
      <c r="AG1151" s="1">
        <v>9</v>
      </c>
    </row>
    <row r="1152" spans="28:33" x14ac:dyDescent="0.3">
      <c r="AB1152" s="3">
        <v>1.0902777777777699</v>
      </c>
      <c r="AC1152" s="3" t="str">
        <f t="shared" si="48"/>
        <v>02:10</v>
      </c>
      <c r="AD1152" s="3">
        <f t="shared" si="49"/>
        <v>9.0277777777777776E-2</v>
      </c>
      <c r="AE1152" s="1">
        <v>116</v>
      </c>
      <c r="AF1152" s="1">
        <v>10</v>
      </c>
      <c r="AG1152" s="1">
        <v>0</v>
      </c>
    </row>
    <row r="1153" spans="28:33" x14ac:dyDescent="0.3">
      <c r="AB1153" s="3">
        <v>1.09097222222222</v>
      </c>
      <c r="AC1153" s="3" t="str">
        <f t="shared" si="48"/>
        <v>02:11</v>
      </c>
      <c r="AD1153" s="3">
        <f t="shared" si="49"/>
        <v>9.0972222222222218E-2</v>
      </c>
      <c r="AE1153" s="1">
        <v>116</v>
      </c>
      <c r="AF1153" s="1">
        <v>10</v>
      </c>
      <c r="AG1153" s="1">
        <v>1</v>
      </c>
    </row>
    <row r="1154" spans="28:33" x14ac:dyDescent="0.3">
      <c r="AB1154" s="3">
        <v>1.0916666666666599</v>
      </c>
      <c r="AC1154" s="3" t="str">
        <f t="shared" si="48"/>
        <v>02:12</v>
      </c>
      <c r="AD1154" s="3">
        <f t="shared" si="49"/>
        <v>9.1666666666666674E-2</v>
      </c>
      <c r="AE1154" s="1">
        <v>116</v>
      </c>
      <c r="AF1154" s="1">
        <v>10</v>
      </c>
      <c r="AG1154" s="1">
        <v>2</v>
      </c>
    </row>
    <row r="1155" spans="28:33" x14ac:dyDescent="0.3">
      <c r="AB1155" s="3">
        <v>1.09236111111111</v>
      </c>
      <c r="AC1155" s="3" t="str">
        <f t="shared" ref="AC1155:AC1172" si="50">TEXT(AB1155,"hh:mm")</f>
        <v>02:13</v>
      </c>
      <c r="AD1155" s="3">
        <f t="shared" ref="AD1155:AD1172" si="51">VALUE(AC1155)</f>
        <v>9.2361111111111116E-2</v>
      </c>
      <c r="AE1155" s="1">
        <v>116</v>
      </c>
      <c r="AF1155" s="1">
        <v>10</v>
      </c>
      <c r="AG1155" s="1">
        <v>3</v>
      </c>
    </row>
    <row r="1156" spans="28:33" x14ac:dyDescent="0.3">
      <c r="AB1156" s="3">
        <v>1.0930555555555499</v>
      </c>
      <c r="AC1156" s="3" t="str">
        <f t="shared" si="50"/>
        <v>02:14</v>
      </c>
      <c r="AD1156" s="3">
        <f t="shared" si="51"/>
        <v>9.3055555555555558E-2</v>
      </c>
      <c r="AE1156" s="1">
        <v>116</v>
      </c>
      <c r="AF1156" s="1">
        <v>10</v>
      </c>
      <c r="AG1156" s="1">
        <v>4</v>
      </c>
    </row>
    <row r="1157" spans="28:33" x14ac:dyDescent="0.3">
      <c r="AB1157" s="3">
        <v>1.09375</v>
      </c>
      <c r="AC1157" s="3" t="str">
        <f t="shared" si="50"/>
        <v>02:15</v>
      </c>
      <c r="AD1157" s="3">
        <f t="shared" si="51"/>
        <v>9.375E-2</v>
      </c>
      <c r="AE1157" s="1">
        <v>116</v>
      </c>
      <c r="AF1157" s="1">
        <v>10</v>
      </c>
      <c r="AG1157" s="1">
        <v>5</v>
      </c>
    </row>
    <row r="1158" spans="28:33" x14ac:dyDescent="0.3">
      <c r="AB1158" s="3">
        <v>1.0944444444444399</v>
      </c>
      <c r="AC1158" s="3" t="str">
        <f t="shared" si="50"/>
        <v>02:16</v>
      </c>
      <c r="AD1158" s="3">
        <f t="shared" si="51"/>
        <v>9.4444444444444442E-2</v>
      </c>
      <c r="AE1158" s="1">
        <v>116</v>
      </c>
      <c r="AF1158" s="1">
        <v>10</v>
      </c>
      <c r="AG1158" s="1">
        <v>6</v>
      </c>
    </row>
    <row r="1159" spans="28:33" x14ac:dyDescent="0.3">
      <c r="AB1159" s="3">
        <v>1.09513888888889</v>
      </c>
      <c r="AC1159" s="3" t="str">
        <f t="shared" si="50"/>
        <v>02:17</v>
      </c>
      <c r="AD1159" s="3">
        <f t="shared" si="51"/>
        <v>9.5138888888888884E-2</v>
      </c>
      <c r="AE1159" s="1">
        <v>116</v>
      </c>
      <c r="AF1159" s="1">
        <v>10</v>
      </c>
      <c r="AG1159" s="1">
        <v>7</v>
      </c>
    </row>
    <row r="1160" spans="28:33" x14ac:dyDescent="0.3">
      <c r="AB1160" s="3">
        <v>1.0958333333333301</v>
      </c>
      <c r="AC1160" s="3" t="str">
        <f t="shared" si="50"/>
        <v>02:18</v>
      </c>
      <c r="AD1160" s="3">
        <f t="shared" si="51"/>
        <v>9.5833333333333326E-2</v>
      </c>
      <c r="AE1160" s="1">
        <v>116</v>
      </c>
      <c r="AF1160" s="1">
        <v>10</v>
      </c>
      <c r="AG1160" s="1">
        <v>8</v>
      </c>
    </row>
    <row r="1161" spans="28:33" x14ac:dyDescent="0.3">
      <c r="AB1161" s="3">
        <v>1.09652777777777</v>
      </c>
      <c r="AC1161" s="3" t="str">
        <f t="shared" si="50"/>
        <v>02:19</v>
      </c>
      <c r="AD1161" s="3">
        <f t="shared" si="51"/>
        <v>9.6527777777777768E-2</v>
      </c>
      <c r="AE1161" s="1">
        <v>116</v>
      </c>
      <c r="AF1161" s="1">
        <v>10</v>
      </c>
      <c r="AG1161" s="1">
        <v>9</v>
      </c>
    </row>
    <row r="1162" spans="28:33" x14ac:dyDescent="0.3">
      <c r="AB1162" s="3">
        <v>1.0972222222222201</v>
      </c>
      <c r="AC1162" s="3" t="str">
        <f t="shared" si="50"/>
        <v>02:20</v>
      </c>
      <c r="AD1162" s="3">
        <f t="shared" si="51"/>
        <v>9.7222222222222224E-2</v>
      </c>
      <c r="AE1162" s="1">
        <v>117</v>
      </c>
      <c r="AF1162" s="1">
        <v>10</v>
      </c>
      <c r="AG1162" s="1">
        <v>0</v>
      </c>
    </row>
    <row r="1163" spans="28:33" x14ac:dyDescent="0.3">
      <c r="AB1163" s="3">
        <v>1.09791666666666</v>
      </c>
      <c r="AC1163" s="3" t="str">
        <f t="shared" si="50"/>
        <v>02:21</v>
      </c>
      <c r="AD1163" s="3">
        <f t="shared" si="51"/>
        <v>9.7916666666666666E-2</v>
      </c>
      <c r="AE1163" s="1">
        <v>117</v>
      </c>
      <c r="AF1163" s="1">
        <v>10</v>
      </c>
      <c r="AG1163" s="1">
        <v>1</v>
      </c>
    </row>
    <row r="1164" spans="28:33" x14ac:dyDescent="0.3">
      <c r="AB1164" s="3">
        <v>1.0986111111111101</v>
      </c>
      <c r="AC1164" s="3" t="str">
        <f t="shared" si="50"/>
        <v>02:22</v>
      </c>
      <c r="AD1164" s="3">
        <f t="shared" si="51"/>
        <v>9.8611111111111108E-2</v>
      </c>
      <c r="AE1164" s="1">
        <v>117</v>
      </c>
      <c r="AF1164" s="1">
        <v>10</v>
      </c>
      <c r="AG1164" s="1">
        <v>2</v>
      </c>
    </row>
    <row r="1165" spans="28:33" x14ac:dyDescent="0.3">
      <c r="AB1165" s="3">
        <v>1.09930555555555</v>
      </c>
      <c r="AC1165" s="3" t="str">
        <f t="shared" si="50"/>
        <v>02:23</v>
      </c>
      <c r="AD1165" s="3">
        <f t="shared" si="51"/>
        <v>9.930555555555555E-2</v>
      </c>
      <c r="AE1165" s="1">
        <v>117</v>
      </c>
      <c r="AF1165" s="1">
        <v>10</v>
      </c>
      <c r="AG1165" s="1">
        <v>3</v>
      </c>
    </row>
    <row r="1166" spans="28:33" x14ac:dyDescent="0.3">
      <c r="AB1166" s="3">
        <v>1.1000000000000001</v>
      </c>
      <c r="AC1166" s="3" t="str">
        <f t="shared" si="50"/>
        <v>02:24</v>
      </c>
      <c r="AD1166" s="3">
        <f t="shared" si="51"/>
        <v>9.9999999999999992E-2</v>
      </c>
      <c r="AE1166" s="1">
        <v>117</v>
      </c>
      <c r="AF1166" s="1">
        <v>10</v>
      </c>
      <c r="AG1166" s="1">
        <v>4</v>
      </c>
    </row>
    <row r="1167" spans="28:33" x14ac:dyDescent="0.3">
      <c r="AB1167" s="3">
        <v>1.10069444444444</v>
      </c>
      <c r="AC1167" s="3" t="str">
        <f t="shared" si="50"/>
        <v>02:25</v>
      </c>
      <c r="AD1167" s="3">
        <f t="shared" si="51"/>
        <v>0.10069444444444443</v>
      </c>
      <c r="AE1167" s="1">
        <v>117</v>
      </c>
      <c r="AF1167" s="1">
        <v>10</v>
      </c>
      <c r="AG1167" s="1">
        <v>5</v>
      </c>
    </row>
    <row r="1168" spans="28:33" x14ac:dyDescent="0.3">
      <c r="AB1168" s="3">
        <v>1.1013888888888901</v>
      </c>
      <c r="AC1168" s="3" t="str">
        <f t="shared" si="50"/>
        <v>02:26</v>
      </c>
      <c r="AD1168" s="3">
        <f t="shared" si="51"/>
        <v>0.1013888888888889</v>
      </c>
      <c r="AE1168" s="1">
        <v>117</v>
      </c>
      <c r="AF1168" s="1">
        <v>10</v>
      </c>
      <c r="AG1168" s="1">
        <v>6</v>
      </c>
    </row>
    <row r="1169" spans="28:33" x14ac:dyDescent="0.3">
      <c r="AB1169" s="3">
        <v>1.10208333333333</v>
      </c>
      <c r="AC1169" s="3" t="str">
        <f t="shared" si="50"/>
        <v>02:27</v>
      </c>
      <c r="AD1169" s="3">
        <f t="shared" si="51"/>
        <v>0.10208333333333335</v>
      </c>
      <c r="AE1169" s="1">
        <v>117</v>
      </c>
      <c r="AF1169" s="1">
        <v>10</v>
      </c>
      <c r="AG1169" s="1">
        <v>7</v>
      </c>
    </row>
    <row r="1170" spans="28:33" x14ac:dyDescent="0.3">
      <c r="AB1170" s="3">
        <v>1.1027777777777701</v>
      </c>
      <c r="AC1170" s="3" t="str">
        <f t="shared" si="50"/>
        <v>02:28</v>
      </c>
      <c r="AD1170" s="3">
        <f t="shared" si="51"/>
        <v>0.10277777777777779</v>
      </c>
      <c r="AE1170" s="1">
        <v>117</v>
      </c>
      <c r="AF1170" s="1">
        <v>10</v>
      </c>
      <c r="AG1170" s="1">
        <v>8</v>
      </c>
    </row>
    <row r="1171" spans="28:33" x14ac:dyDescent="0.3">
      <c r="AB1171" s="3">
        <v>1.10347222222222</v>
      </c>
      <c r="AC1171" s="3" t="str">
        <f t="shared" si="50"/>
        <v>02:29</v>
      </c>
      <c r="AD1171" s="3">
        <f t="shared" si="51"/>
        <v>0.10347222222222223</v>
      </c>
      <c r="AE1171" s="1">
        <v>117</v>
      </c>
      <c r="AF1171" s="1">
        <v>10</v>
      </c>
      <c r="AG1171" s="1">
        <v>9</v>
      </c>
    </row>
    <row r="1172" spans="28:33" x14ac:dyDescent="0.3">
      <c r="AB1172" s="3">
        <v>1.1041666666666601</v>
      </c>
      <c r="AC1172" s="3" t="str">
        <f t="shared" si="50"/>
        <v>02:30</v>
      </c>
      <c r="AD1172" s="3">
        <f t="shared" si="51"/>
        <v>0.10416666666666667</v>
      </c>
      <c r="AE1172" s="1">
        <v>118</v>
      </c>
      <c r="AF1172" s="1">
        <v>10</v>
      </c>
      <c r="AG1172" s="1">
        <v>0</v>
      </c>
    </row>
  </sheetData>
  <autoFilter ref="AB1:AG1172" xr:uid="{00000000-0009-0000-0000-000005000000}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3504-D932-4DE9-89ED-EE9A897792E9}">
  <sheetPr codeName="Sheet2"/>
  <dimension ref="A1:E1"/>
  <sheetViews>
    <sheetView workbookViewId="0">
      <selection activeCell="F20" sqref="F20"/>
    </sheetView>
  </sheetViews>
  <sheetFormatPr defaultRowHeight="14.4" x14ac:dyDescent="0.3"/>
  <sheetData>
    <row r="1" spans="1:5" x14ac:dyDescent="0.3">
      <c r="A1" t="s">
        <v>100</v>
      </c>
      <c r="B1" t="s">
        <v>99</v>
      </c>
      <c r="C1" t="s">
        <v>98</v>
      </c>
      <c r="D1" t="s">
        <v>92</v>
      </c>
      <c r="E1" t="s">
        <v>82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8ACE-2D01-4F1D-8EF6-7A1B479988F4}">
  <sheetPr codeName="Sheet3"/>
  <dimension ref="A1:J1"/>
  <sheetViews>
    <sheetView workbookViewId="0">
      <selection activeCell="I2" sqref="I2"/>
    </sheetView>
  </sheetViews>
  <sheetFormatPr defaultRowHeight="14.4" x14ac:dyDescent="0.3"/>
  <sheetData>
    <row r="1" spans="1:10" x14ac:dyDescent="0.3">
      <c r="A1" t="s">
        <v>83</v>
      </c>
      <c r="B1" t="s">
        <v>108</v>
      </c>
      <c r="C1" t="s">
        <v>110</v>
      </c>
      <c r="D1" t="s">
        <v>111</v>
      </c>
      <c r="E1" t="s">
        <v>109</v>
      </c>
      <c r="F1" t="s">
        <v>112</v>
      </c>
      <c r="G1" t="s">
        <v>113</v>
      </c>
      <c r="H1" t="s">
        <v>114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05B57-7097-4071-8CD3-B290837C1755}">
  <sheetPr codeName="Sheet4"/>
  <dimension ref="A1:J1"/>
  <sheetViews>
    <sheetView workbookViewId="0">
      <selection activeCell="H3" sqref="H3"/>
    </sheetView>
  </sheetViews>
  <sheetFormatPr defaultRowHeight="14.4" x14ac:dyDescent="0.3"/>
  <sheetData>
    <row r="1" spans="1:10" x14ac:dyDescent="0.3">
      <c r="A1" t="s">
        <v>93</v>
      </c>
      <c r="B1" t="s">
        <v>101</v>
      </c>
      <c r="C1" t="s">
        <v>94</v>
      </c>
      <c r="D1" t="s">
        <v>102</v>
      </c>
      <c r="E1" t="s">
        <v>95</v>
      </c>
      <c r="F1" t="s">
        <v>103</v>
      </c>
      <c r="G1" t="s">
        <v>96</v>
      </c>
      <c r="H1" t="s">
        <v>97</v>
      </c>
      <c r="I1" t="s">
        <v>92</v>
      </c>
      <c r="J1" t="s">
        <v>82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2240B-BC22-4A03-8292-E8C297888862}">
  <sheetPr codeName="Sheet5"/>
  <dimension ref="A1:O1"/>
  <sheetViews>
    <sheetView workbookViewId="0">
      <selection activeCell="O1" sqref="O1"/>
    </sheetView>
  </sheetViews>
  <sheetFormatPr defaultRowHeight="14.4" x14ac:dyDescent="0.3"/>
  <sheetData>
    <row r="1" spans="1:15" x14ac:dyDescent="0.3">
      <c r="A1" t="s">
        <v>84</v>
      </c>
      <c r="B1" t="s">
        <v>85</v>
      </c>
      <c r="C1" t="s">
        <v>86</v>
      </c>
      <c r="D1" t="s">
        <v>91</v>
      </c>
      <c r="E1" t="s">
        <v>81</v>
      </c>
      <c r="F1" t="s">
        <v>104</v>
      </c>
      <c r="G1" t="s">
        <v>87</v>
      </c>
      <c r="H1" t="s">
        <v>105</v>
      </c>
      <c r="I1" t="s">
        <v>88</v>
      </c>
      <c r="J1" t="s">
        <v>106</v>
      </c>
      <c r="K1" t="s">
        <v>89</v>
      </c>
      <c r="L1" t="s">
        <v>107</v>
      </c>
      <c r="M1" t="s">
        <v>90</v>
      </c>
      <c r="N1" t="s">
        <v>92</v>
      </c>
      <c r="O1" t="s">
        <v>82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45A81-B394-49A3-85C7-79CB455AC9A3}">
  <sheetPr codeName="Sheet6"/>
  <dimension ref="A1:H1"/>
  <sheetViews>
    <sheetView workbookViewId="0">
      <selection activeCell="K8" sqref="K8"/>
    </sheetView>
  </sheetViews>
  <sheetFormatPr defaultRowHeight="14.4" x14ac:dyDescent="0.3"/>
  <sheetData>
    <row r="1" spans="1:8" x14ac:dyDescent="0.3">
      <c r="A1" t="s">
        <v>115</v>
      </c>
      <c r="B1" t="s">
        <v>116</v>
      </c>
      <c r="C1" t="s">
        <v>117</v>
      </c>
      <c r="D1" t="s">
        <v>118</v>
      </c>
      <c r="E1" t="s">
        <v>119</v>
      </c>
      <c r="F1" t="s">
        <v>120</v>
      </c>
      <c r="G1" t="s">
        <v>92</v>
      </c>
      <c r="H1" t="s">
        <v>82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生産状況</vt:lpstr>
      <vt:lpstr>計画数(10分毎)</vt:lpstr>
      <vt:lpstr>production</vt:lpstr>
      <vt:lpstr>CT</vt:lpstr>
      <vt:lpstr>defective</vt:lpstr>
      <vt:lpstr>linestop</vt:lpstr>
      <vt:lpstr>YOBIBAN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JPB</dc:creator>
  <cp:lastModifiedBy>宏行 五十嵐</cp:lastModifiedBy>
  <cp:lastPrinted>2025-12-12T06:25:38Z</cp:lastPrinted>
  <dcterms:created xsi:type="dcterms:W3CDTF">2025-12-12T01:20:31Z</dcterms:created>
  <dcterms:modified xsi:type="dcterms:W3CDTF">2026-01-16T02:33:08Z</dcterms:modified>
</cp:coreProperties>
</file>