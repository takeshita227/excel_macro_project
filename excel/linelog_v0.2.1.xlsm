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F2593927-DB36-44F9-8F5E-7E878748E1F7}" xr6:coauthVersionLast="47" xr6:coauthVersionMax="47" xr10:uidLastSave="{00000000-0000-0000-0000-000000000000}"/>
  <bookViews>
    <workbookView xWindow="-120" yWindow="-120" windowWidth="16440" windowHeight="2832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<sst xmlns="http://schemas.openxmlformats.org/spreadsheetml/2006/main" count="165" uniqueCount="126">
  <si>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</si>
  <si>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</si>
  <si>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</si>
  <si>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</si>
  <si>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</si>
  <si>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</si>
  <si>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</si>
  <si>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</si>
  <si>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</si>
  <si>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</si>
  <si>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</si>
  <si>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</si>
  <si>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</si>
  <si>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</si>
  <si>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</si>
  <si>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</si>
  <si>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</si>
  <si>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</si>
  <si>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</si>
  <si>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</si>
  <si>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</si>
  <si>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</si>
  <si>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</si>
  <si>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</si>
  <si>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</si>
  <si>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</si>
  <si>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</si>
  <si>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</si>
  <si>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</si>
  <si>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</si>
  <si>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</si>
  <si>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</si>
  <si>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</si>
  <si>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</si>
  <si>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</si>
  <si>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</si>
  <si>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</si>
  <si>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</si>
  <si>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</si>
  <si>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</si>
  <si>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</si>
  <si>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</si>
  <si>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</si>
  <si>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</si>
  <si>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</si>
  <si>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</si>
  <si>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</si>
  <si>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</si>
  <si>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</si>
  <si>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</si>
  <si>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</si>
  <si>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</si>
  <si>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</si>
  <si>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</si>
  <si>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</si>
  <si>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</si>
  <si>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</si>
  <si>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</si>
  <si>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</si>
  <si>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</si>
  <si>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</si>
  <si>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</si>
  <si>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</si>
  <si>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</si>
  <si>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</si>
  <si>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</si>
  <si>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</si>
  <si>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</si>
  <si>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</si>
  <si>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</si>
  <si>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</si>
  <si>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</si>
  <si>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</si>
  <si>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</si>
  <si>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</si>
  <si>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</si>
  <si>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</si>
  <si>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</si>
  <si>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</si>
  <si>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</si>
  <si>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</si>
  <si>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</si>
  <si>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</si>
  <si>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</si>
  <si>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</si>
  <si>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</si>
  <si>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</si>
  <si>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</si>
  <si>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</si>
  <si>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</si>
  <si>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</si>
  <si>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</si>
  <si>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</si>
  <si>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</si>
  <si>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</si>
  <si>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</si>
  <si>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</si>
  <si>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</si>
  <si>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</si>
  <si>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</si>
  <si>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</si>
  <si>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</si>
  <si>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</si>
  <si>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</si>
  <si>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</si>
  <si>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</si>
  <si>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</si>
  <si>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</si>
  <si>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</si>
  <si>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</si>
  <si>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</si>
  <si>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</si>
  <si>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</si>
  <si>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</si>
  <si>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</si>
  <si>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</si>
  <si>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</si>
  <si>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</si>
  <si>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</si>
  <si>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</si>
  <si>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</si>
  <si>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</si>
  <si>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</si>
  <si>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B</t>
  </si>
  <si>
    <t>B-5</t>
    <phoneticPr fontId="1"/>
  </si>
  <si>
    <t>下田美咲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</si>
</sst>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9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20" fontId="4" fillId="6" borderId="0" xfId="0" applyNumberFormat="1" applyFont="1" applyFill="1">
      <alignment vertical="center"/>
    </xf>
    <xf numFmtId="20" fontId="4" fillId="6" borderId="8" xfId="0" applyNumberFormat="1" applyFont="1" applyFill="1" applyBorder="1">
      <alignment vertical="center"/>
    </xf>
    <xf numFmtId="20" fontId="4" fillId="6" borderId="1" xfId="0" applyNumberFormat="1" applyFont="1" applyFill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0" borderId="9" xfId="0" applyFont="1" applyFill="1" applyBorder="1">
      <alignment vertical="center"/>
    </xf>
    <xf numFmtId="0" fontId="4" fillId="0" borderId="10" xfId="0" applyFont="1" applyFill="1" applyBorder="1">
      <alignment vertical="center"/>
    </xf>
    <xf numFmtId="0" fontId="4" fillId="0" borderId="13" xfId="0" applyFont="1" applyFill="1" applyBorder="1">
      <alignment vertical="center"/>
    </xf>
    <xf numFmtId="0" fontId="4" fillId="0" borderId="17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7" xfId="0" applyFont="1" applyFill="1" applyBorder="1" applyAlignment="1">
      <alignment horizontal="center" vertical="center"/>
    </xf>
    <xf numFmtId="0" fontId="9" fillId="0" borderId="18" xfId="0" applyFont="1" applyFill="1" applyBorder="1" applyAlignment="1">
      <alignment horizontal="center" vertical="center"/>
    </xf>
    <xf numFmtId="0" fontId="9" fillId="0" borderId="13" xfId="0" applyFont="1" applyFill="1" applyBorder="1">
      <alignment vertical="center"/>
    </xf>
    <xf numFmtId="0" fontId="9" fillId="0" borderId="10" xfId="0" applyFont="1" applyFill="1" applyBorder="1">
      <alignment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045575" y="5451475"/>
          <a:ext cx="8416925" cy="1665605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1123315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13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245875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1" workbookViewId="0">
      <selection activeCell="AE28" sqref="AE28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1" hidden="1" customWidth="1"/>
    <col min="10" max="12" width="13.625" style="16" hidden="1" customWidth="1"/>
    <col min="13" max="13" width="13.625" style="61" hidden="1" customWidth="1"/>
    <col min="14" max="16" width="13.625" style="16" hidden="1" customWidth="1"/>
    <col min="17" max="17" width="13.625" style="61" hidden="1" customWidth="1"/>
    <col min="18" max="20" width="13.625" style="16" hidden="1" customWidth="1"/>
    <col min="21" max="21" width="13.625" style="61" hidden="1" customWidth="1"/>
    <col min="22" max="24" width="13.625" style="16" hidden="1" customWidth="1"/>
    <col min="25" max="27" width="13.625" style="61" hidden="1" customWidth="1"/>
    <col min="28" max="28" width="10" style="61" customWidth="1"/>
    <col min="29" max="29" width="10" style="16" customWidth="1"/>
    <col min="30" max="32" width="15" style="16" customWidth="1"/>
    <col min="33" max="34" width="8.625" style="16" customWidth="1"/>
    <col min="35" max="35" width="20.875" style="24" customWidth="1"/>
    <col min="36" max="50" width="7.5" style="24" customWidth="1"/>
    <col min="51" max="16384" width="8.625" style="16"/>
  </cols>
  <sheetData>
    <row r="2" spans="1:50" ht="56.45" customHeight="1" x14ac:dyDescent="0.25">
      <c r="B2" s="78" t="s">
        <v>60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</row>
    <row r="3" spans="1:50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25">
      <c r="B4" s="20">
        <f ca="1">TODAY()</f>
        <v>46051</v>
      </c>
      <c r="C4" s="20" t="s">
        <v>124</v>
      </c>
      <c r="D4" s="21" t="s">
        <v>123</v>
      </c>
      <c r="E4" s="21" t="s">
        <v>125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122</v>
      </c>
      <c r="AE4" s="21" t="s">
        <v>122</v>
      </c>
      <c r="AF4" s="21"/>
    </row>
    <row r="5" spans="1:50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25">
      <c r="B6" s="65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25">
      <c r="A7" s="26"/>
      <c r="B7" s="27">
        <f ca="1">TODAY()</f>
        <v>46051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76" t="s">
        <v>72</v>
      </c>
      <c r="AJ7" s="68" t="s">
        <v>73</v>
      </c>
      <c r="AK7" s="72" t="s">
        <v>75</v>
      </c>
      <c r="AL7" s="72" t="s">
        <v>76</v>
      </c>
      <c r="AM7" s="68" t="s">
        <v>63</v>
      </c>
      <c r="AN7" s="68" t="s">
        <v>64</v>
      </c>
      <c r="AO7" s="68" t="s">
        <v>65</v>
      </c>
      <c r="AP7" s="68" t="s">
        <v>66</v>
      </c>
      <c r="AQ7" s="72" t="s">
        <v>77</v>
      </c>
      <c r="AR7" s="72" t="s">
        <v>78</v>
      </c>
      <c r="AS7" s="68" t="s">
        <v>67</v>
      </c>
      <c r="AT7" s="72" t="s">
        <v>74</v>
      </c>
      <c r="AU7" s="68" t="s">
        <v>68</v>
      </c>
      <c r="AV7" s="68" t="s">
        <v>69</v>
      </c>
      <c r="AW7" s="68" t="s">
        <v>70</v>
      </c>
      <c r="AX7" s="70" t="s">
        <v>71</v>
      </c>
    </row>
    <row r="8" spans="1:50" x14ac:dyDescent="0.25">
      <c r="A8" s="35">
        <v>1</v>
      </c>
      <c r="B8" s="73">
        <v>0.29166666666666669</v>
      </c>
      <c r="C8" s="67">
        <v>0.29166666666666669</v>
      </c>
      <c r="D8" s="79"/>
      <c r="E8" s="37"/>
      <c r="F8" s="38">
        <f>IF('計画数(10分毎)'!$M$2=A8,'計画数(10分毎)'!$P$2,0)</f>
        <v>0</v>
      </c>
      <c r="G8" s="38" t="str">
        <f>IF(F8&gt;0,F8,"-")</f>
        <v>-</v>
      </c>
      <c r="H8" s="38" t="str">
        <f>IF(G8=0,10,IF(G8&gt;0,G8))</f>
        <v>-</v>
      </c>
      <c r="I8" s="39" t="str">
        <f>IF(H8&lt;&gt;"-",H8*60/'計画数(10分毎)'!$I$2*80%,"-")</f>
        <v>-</v>
      </c>
      <c r="J8" s="38">
        <f>IF('計画数(10分毎)'!$M$3=A8,'計画数(10分毎)'!$P$3,0)</f>
        <v>0</v>
      </c>
      <c r="K8" s="38" t="str">
        <f>IF(J8&gt;0,J8,"-")</f>
        <v>-</v>
      </c>
      <c r="L8" s="38" t="str">
        <f>IF(K8=0,10,IF(K8&gt;0,K8))</f>
        <v>-</v>
      </c>
      <c r="M8" s="39" t="str">
        <f>IF(L8&lt;&gt;"-",L8*60/'計画数(10分毎)'!$I$3*80%,"-")</f>
        <v>-</v>
      </c>
      <c r="N8" s="38">
        <f>IF('計画数(10分毎)'!$M$4=A8,'計画数(10分毎)'!$P$4,0)</f>
        <v>0</v>
      </c>
      <c r="O8" s="38" t="str">
        <f>IF(N8&gt;0,N8,"-")</f>
        <v>-</v>
      </c>
      <c r="P8" s="38" t="str">
        <f>IF(O8=0,10,IF(O8&gt;0,O8))</f>
        <v>-</v>
      </c>
      <c r="Q8" s="39" t="str">
        <f>IF(P8&lt;&gt;"-",P8*60/'計画数(10分毎)'!$I$4*80%,"-")</f>
        <v>-</v>
      </c>
      <c r="R8" s="38">
        <f>IF('計画数(10分毎)'!$M$5=A8,'計画数(10分毎)'!$P$5,0)</f>
        <v>0</v>
      </c>
      <c r="S8" s="38" t="str">
        <f>IF(R8&gt;0,R8,"-")</f>
        <v>-</v>
      </c>
      <c r="T8" s="38" t="str">
        <f>IF(S8=0,10,IF(S8&gt;0,S8))</f>
        <v>-</v>
      </c>
      <c r="U8" s="39" t="str">
        <f>IF(T8&lt;&gt;"-",T8*60/'計画数(10分毎)'!$I$5*80%,"-")</f>
        <v>-</v>
      </c>
      <c r="V8" s="38">
        <f>IF('計画数(10分毎)'!$M$6=A8,'計画数(10分毎)'!$P$6,0)</f>
        <v>0</v>
      </c>
      <c r="W8" s="38" t="str">
        <f>IF(V8&gt;0,V8,"-")</f>
        <v>-</v>
      </c>
      <c r="X8" s="38" t="str">
        <f>IF(W8=0,10,IF(W8&gt;0,W8))</f>
        <v>-</v>
      </c>
      <c r="Y8" s="39" t="str">
        <f>IF(X8&lt;&gt;"-",X8*60/'計画数(10分毎)'!$I$6*80%,"-")</f>
        <v>-</v>
      </c>
      <c r="Z8" s="39" t="str">
        <f>IF(Y8&lt;&gt;"-",Y8,IF(U8&lt;&gt;"-",U8,IF(Q8&lt;&gt;"-",Q8,IF(M8&lt;&gt;"-",M8,I8))))</f>
        <v>-</v>
      </c>
      <c r="AA8" s="39">
        <f>IF(Z8="-",0,Z8)</f>
        <v>0</v>
      </c>
      <c r="AB8" s="40"/>
      <c r="AC8" s="38"/>
      <c r="AD8" s="38"/>
      <c r="AE8" s="38"/>
      <c r="AF8" s="41"/>
      <c r="AI8" s="77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71"/>
    </row>
    <row r="9" spans="1:50" x14ac:dyDescent="0.25">
      <c r="A9" s="35">
        <v>2</v>
      </c>
      <c r="B9" s="74"/>
      <c r="C9" s="42">
        <v>0.2986111111111111</v>
      </c>
      <c r="D9" s="80"/>
      <c r="E9" s="44"/>
      <c r="F9" s="44">
        <f>IF('計画数(10分毎)'!$M$2=A9,'計画数(10分毎)'!$P$2,0)</f>
        <v>0</v>
      </c>
      <c r="G9" s="44" t="str">
        <f>IF(OR(F9&gt;0,G8&lt;&gt;"-"),F9,"-")</f>
        <v>-</v>
      </c>
      <c r="H9" s="44" t="str">
        <f t="shared" ref="H9:H16" si="0">IF(G9=0,10,IF(G9&gt;0,G9))</f>
        <v>-</v>
      </c>
      <c r="I9" s="45" t="str">
        <f>IF(H9&lt;&gt;"-",H9*60/'計画数(10分毎)'!$I$2*80%,"-")</f>
        <v>-</v>
      </c>
      <c r="J9" s="44">
        <f>IF('計画数(10分毎)'!$M$3=A9,'計画数(10分毎)'!$P$3,0)</f>
        <v>0</v>
      </c>
      <c r="K9" s="44" t="str">
        <f>IF(OR(J9&gt;0,K8&lt;&gt;"-"),J9,"-")</f>
        <v>-</v>
      </c>
      <c r="L9" s="44" t="str">
        <f t="shared" ref="L9:L16" si="1">IF(K9=0,10,IF(K9&gt;0,K9))</f>
        <v>-</v>
      </c>
      <c r="M9" s="45" t="str">
        <f>IF(L9&lt;&gt;"-",L9*60/'計画数(10分毎)'!$I$3*80%,"-")</f>
        <v>-</v>
      </c>
      <c r="N9" s="44">
        <f>IF('計画数(10分毎)'!$M$4=A9,'計画数(10分毎)'!$P$4,0)</f>
        <v>0</v>
      </c>
      <c r="O9" s="44" t="str">
        <f>IF(OR(N9&gt;0,O8&lt;&gt;"-"),N9,"-")</f>
        <v>-</v>
      </c>
      <c r="P9" s="44" t="str">
        <f t="shared" ref="P9:P16" si="2">IF(O9=0,10,IF(O9&gt;0,O9))</f>
        <v>-</v>
      </c>
      <c r="Q9" s="45" t="str">
        <f>IF(P9&lt;&gt;"-",P9*60/'計画数(10分毎)'!$I$4*80%,"-")</f>
        <v>-</v>
      </c>
      <c r="R9" s="44">
        <f>IF('計画数(10分毎)'!$M$5=A9,'計画数(10分毎)'!$P$5,0)</f>
        <v>0</v>
      </c>
      <c r="S9" s="44" t="str">
        <f>IF(OR(R9&gt;0,S8&lt;&gt;"-"),R9,"-")</f>
        <v>-</v>
      </c>
      <c r="T9" s="44" t="str">
        <f t="shared" ref="T9:T16" si="3">IF(S9=0,10,IF(S9&gt;0,S9))</f>
        <v>-</v>
      </c>
      <c r="U9" s="45" t="str">
        <f>IF(T9&lt;&gt;"-",T9*60/'計画数(10分毎)'!$I$5*80%,"-")</f>
        <v>-</v>
      </c>
      <c r="V9" s="44">
        <f>IF('計画数(10分毎)'!$M$6=A9,'計画数(10分毎)'!$P$6,0)</f>
        <v>0</v>
      </c>
      <c r="W9" s="44" t="str">
        <f>IF(OR(V9&gt;0,W8&lt;&gt;"-"),V9,"-")</f>
        <v>-</v>
      </c>
      <c r="X9" s="44" t="str">
        <f t="shared" ref="X9:X16" si="4">IF(W9=0,10,IF(W9&gt;0,W9))</f>
        <v>-</v>
      </c>
      <c r="Y9" s="45" t="str">
        <f>IF(X9&lt;&gt;"-",X9*60/'計画数(10分毎)'!$I$6*80%,"-")</f>
        <v>-</v>
      </c>
      <c r="Z9" s="45" t="str">
        <f t="shared" ref="Z9:Z16" si="5">IF(Y9&lt;&gt;"-",Y9,IF(U9&lt;&gt;"-",U9,IF(Q9&lt;&gt;"-",Q9,IF(M9&lt;&gt;"-",M9,I9))))</f>
        <v>-</v>
      </c>
      <c r="AA9" s="45">
        <f t="shared" ref="AA9:AA16" si="6">IF(Z9="-",0,Z9)</f>
        <v>0</v>
      </c>
      <c r="AB9" s="46"/>
      <c r="AC9" s="44"/>
      <c r="AD9" s="44"/>
      <c r="AE9" s="44"/>
      <c r="AF9" s="47"/>
      <c r="AI9" s="62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4"/>
    </row>
    <row r="10" spans="1:50" x14ac:dyDescent="0.25">
      <c r="A10" s="35">
        <v>3</v>
      </c>
      <c r="B10" s="74"/>
      <c r="C10" s="48">
        <v>0.30555555555555552</v>
      </c>
      <c r="D10" s="81"/>
      <c r="E10" s="49"/>
      <c r="F10" s="50">
        <f>IF('計画数(10分毎)'!$M$2=A10,'計画数(10分毎)'!$P$2,0)</f>
        <v>0</v>
      </c>
      <c r="G10" s="50" t="str">
        <f t="shared" ref="G10:G16" si="7">IF(OR(F10&gt;0,G9&lt;&gt;"-"),F10,"-")</f>
        <v>-</v>
      </c>
      <c r="H10" s="50" t="str">
        <f t="shared" si="0"/>
        <v>-</v>
      </c>
      <c r="I10" s="51" t="str">
        <f>IF(H10&lt;&gt;"-",H10*60/'計画数(10分毎)'!$I$2*80%,"-")</f>
        <v>-</v>
      </c>
      <c r="J10" s="50">
        <f>IF('計画数(10分毎)'!$M$3=A10,'計画数(10分毎)'!$P$3,0)</f>
        <v>0</v>
      </c>
      <c r="K10" s="50" t="str">
        <f t="shared" ref="K10:K16" si="8">IF(OR(J10&gt;0,K9&lt;&gt;"-"),J10,"-")</f>
        <v>-</v>
      </c>
      <c r="L10" s="50" t="str">
        <f t="shared" si="1"/>
        <v>-</v>
      </c>
      <c r="M10" s="51" t="str">
        <f>IF(L10&lt;&gt;"-",L10*60/'計画数(10分毎)'!$I$3*80%,"-")</f>
        <v>-</v>
      </c>
      <c r="N10" s="50">
        <f>IF('計画数(10分毎)'!$M$4=A10,'計画数(10分毎)'!$P$4,0)</f>
        <v>0</v>
      </c>
      <c r="O10" s="50" t="str">
        <f t="shared" ref="O10:O16" si="9">IF(OR(N10&gt;0,O9&lt;&gt;"-"),N10,"-")</f>
        <v>-</v>
      </c>
      <c r="P10" s="50" t="str">
        <f t="shared" si="2"/>
        <v>-</v>
      </c>
      <c r="Q10" s="51" t="str">
        <f>IF(P10&lt;&gt;"-",P10*60/'計画数(10分毎)'!$I$4*80%,"-")</f>
        <v>-</v>
      </c>
      <c r="R10" s="50">
        <f>IF('計画数(10分毎)'!$M$5=A10,'計画数(10分毎)'!$P$5,0)</f>
        <v>0</v>
      </c>
      <c r="S10" s="50" t="str">
        <f t="shared" ref="S10:S16" si="10">IF(OR(R10&gt;0,S9&lt;&gt;"-"),R10,"-")</f>
        <v>-</v>
      </c>
      <c r="T10" s="50" t="str">
        <f t="shared" si="3"/>
        <v>-</v>
      </c>
      <c r="U10" s="51" t="str">
        <f>IF(T10&lt;&gt;"-",T10*60/'計画数(10分毎)'!$I$5*80%,"-")</f>
        <v>-</v>
      </c>
      <c r="V10" s="50">
        <f>IF('計画数(10分毎)'!$M$6=A10,'計画数(10分毎)'!$P$6,0)</f>
        <v>0</v>
      </c>
      <c r="W10" s="50" t="str">
        <f t="shared" ref="W10:W16" si="11">IF(OR(V10&gt;0,W9&lt;&gt;"-"),V10,"-")</f>
        <v>-</v>
      </c>
      <c r="X10" s="50" t="str">
        <f t="shared" si="4"/>
        <v>-</v>
      </c>
      <c r="Y10" s="51" t="str">
        <f>IF(X10&lt;&gt;"-",X10*60/'計画数(10分毎)'!$I$6*80%,"-")</f>
        <v>-</v>
      </c>
      <c r="Z10" s="51" t="str">
        <f t="shared" si="5"/>
        <v>-</v>
      </c>
      <c r="AA10" s="51">
        <f t="shared" si="6"/>
        <v>0</v>
      </c>
      <c r="AB10" s="52"/>
      <c r="AC10" s="49"/>
      <c r="AD10" s="49"/>
      <c r="AE10" s="49"/>
      <c r="AF10" s="53"/>
      <c r="AI10" s="62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4"/>
    </row>
    <row r="11" spans="1:50" x14ac:dyDescent="0.25">
      <c r="A11" s="35">
        <v>4</v>
      </c>
      <c r="B11" s="74"/>
      <c r="C11" s="42">
        <v>0.3125</v>
      </c>
      <c r="D11" s="79"/>
      <c r="E11" s="50"/>
      <c r="F11" s="38">
        <f>IF('計画数(10分毎)'!$M$2=A11,'計画数(10分毎)'!$P$2,0)</f>
        <v>0</v>
      </c>
      <c r="G11" s="38" t="str">
        <f t="shared" si="7"/>
        <v>-</v>
      </c>
      <c r="H11" s="38" t="str">
        <f t="shared" si="0"/>
        <v>-</v>
      </c>
      <c r="I11" s="39" t="str">
        <f>IF(H11&lt;&gt;"-",H11*60/'計画数(10分毎)'!$I$2*80%,"-")</f>
        <v>-</v>
      </c>
      <c r="J11" s="38">
        <f>IF('計画数(10分毎)'!$M$3=A11,'計画数(10分毎)'!$P$3,0)</f>
        <v>0</v>
      </c>
      <c r="K11" s="38" t="str">
        <f t="shared" si="8"/>
        <v>-</v>
      </c>
      <c r="L11" s="38" t="str">
        <f t="shared" si="1"/>
        <v>-</v>
      </c>
      <c r="M11" s="39" t="str">
        <f>IF(L11&lt;&gt;"-",L11*60/'計画数(10分毎)'!$I$3*80%,"-")</f>
        <v>-</v>
      </c>
      <c r="N11" s="38">
        <f>IF('計画数(10分毎)'!$M$4=A11,'計画数(10分毎)'!$P$4,0)</f>
        <v>0</v>
      </c>
      <c r="O11" s="38" t="str">
        <f t="shared" si="9"/>
        <v>-</v>
      </c>
      <c r="P11" s="38" t="str">
        <f t="shared" si="2"/>
        <v>-</v>
      </c>
      <c r="Q11" s="39" t="str">
        <f>IF(P11&lt;&gt;"-",P11*60/'計画数(10分毎)'!$I$4*80%,"-")</f>
        <v>-</v>
      </c>
      <c r="R11" s="38">
        <f>IF('計画数(10分毎)'!$M$5=A11,'計画数(10分毎)'!$P$5,0)</f>
        <v>0</v>
      </c>
      <c r="S11" s="38" t="str">
        <f t="shared" si="10"/>
        <v>-</v>
      </c>
      <c r="T11" s="38" t="str">
        <f t="shared" si="3"/>
        <v>-</v>
      </c>
      <c r="U11" s="39" t="str">
        <f>IF(T11&lt;&gt;"-",T11*60/'計画数(10分毎)'!$I$5*80%,"-")</f>
        <v>-</v>
      </c>
      <c r="V11" s="38">
        <f>IF('計画数(10分毎)'!$M$6=A11,'計画数(10分毎)'!$P$6,0)</f>
        <v>0</v>
      </c>
      <c r="W11" s="38" t="str">
        <f t="shared" si="11"/>
        <v>-</v>
      </c>
      <c r="X11" s="38" t="str">
        <f t="shared" si="4"/>
        <v>-</v>
      </c>
      <c r="Y11" s="39" t="str">
        <f>IF(X11&lt;&gt;"-",X11*60/'計画数(10分毎)'!$I$6*80%,"-")</f>
        <v>-</v>
      </c>
      <c r="Z11" s="39" t="str">
        <f t="shared" si="5"/>
        <v>-</v>
      </c>
      <c r="AA11" s="39">
        <f t="shared" si="6"/>
        <v>0</v>
      </c>
      <c r="AB11" s="54"/>
      <c r="AC11" s="50"/>
      <c r="AD11" s="50"/>
      <c r="AE11" s="50"/>
      <c r="AF11" s="55"/>
      <c r="AI11" s="62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4"/>
    </row>
    <row r="12" spans="1:50" x14ac:dyDescent="0.25">
      <c r="A12" s="35">
        <v>5</v>
      </c>
      <c r="B12" s="74"/>
      <c r="C12" s="42">
        <v>0.31944444444444448</v>
      </c>
      <c r="D12" s="80"/>
      <c r="E12" s="44"/>
      <c r="F12" s="44">
        <f>IF('計画数(10分毎)'!$M$2=A12,'計画数(10分毎)'!$P$2,0)</f>
        <v>0</v>
      </c>
      <c r="G12" s="44" t="str">
        <f t="shared" si="7"/>
        <v>-</v>
      </c>
      <c r="H12" s="44" t="str">
        <f t="shared" si="0"/>
        <v>-</v>
      </c>
      <c r="I12" s="45" t="str">
        <f>IF(H12&lt;&gt;"-",H12*60/'計画数(10分毎)'!$I$2*80%,"-")</f>
        <v>-</v>
      </c>
      <c r="J12" s="44">
        <f>IF('計画数(10分毎)'!$M$3=A12,'計画数(10分毎)'!$P$3,0)</f>
        <v>0</v>
      </c>
      <c r="K12" s="44" t="str">
        <f t="shared" si="8"/>
        <v>-</v>
      </c>
      <c r="L12" s="44" t="str">
        <f t="shared" si="1"/>
        <v>-</v>
      </c>
      <c r="M12" s="45" t="str">
        <f>IF(L12&lt;&gt;"-",L12*60/'計画数(10分毎)'!$I$3*80%,"-")</f>
        <v>-</v>
      </c>
      <c r="N12" s="44">
        <f>IF('計画数(10分毎)'!$M$4=A12,'計画数(10分毎)'!$P$4,0)</f>
        <v>0</v>
      </c>
      <c r="O12" s="44" t="str">
        <f t="shared" si="9"/>
        <v>-</v>
      </c>
      <c r="P12" s="44" t="str">
        <f t="shared" si="2"/>
        <v>-</v>
      </c>
      <c r="Q12" s="45" t="str">
        <f>IF(P12&lt;&gt;"-",P12*60/'計画数(10分毎)'!$I$4*80%,"-")</f>
        <v>-</v>
      </c>
      <c r="R12" s="44">
        <f>IF('計画数(10分毎)'!$M$5=A12,'計画数(10分毎)'!$P$5,0)</f>
        <v>0</v>
      </c>
      <c r="S12" s="44" t="str">
        <f t="shared" si="10"/>
        <v>-</v>
      </c>
      <c r="T12" s="44" t="str">
        <f t="shared" si="3"/>
        <v>-</v>
      </c>
      <c r="U12" s="45" t="str">
        <f>IF(T12&lt;&gt;"-",T12*60/'計画数(10分毎)'!$I$5*80%,"-")</f>
        <v>-</v>
      </c>
      <c r="V12" s="44">
        <f>IF('計画数(10分毎)'!$M$6=A12,'計画数(10分毎)'!$P$6,0)</f>
        <v>0</v>
      </c>
      <c r="W12" s="44" t="str">
        <f t="shared" si="11"/>
        <v>-</v>
      </c>
      <c r="X12" s="44" t="str">
        <f t="shared" si="4"/>
        <v>-</v>
      </c>
      <c r="Y12" s="45" t="str">
        <f>IF(X12&lt;&gt;"-",X12*60/'計画数(10分毎)'!$I$6*80%,"-")</f>
        <v>-</v>
      </c>
      <c r="Z12" s="45" t="str">
        <f t="shared" si="5"/>
        <v>-</v>
      </c>
      <c r="AA12" s="45">
        <f t="shared" si="6"/>
        <v>0</v>
      </c>
      <c r="AB12" s="46"/>
      <c r="AC12" s="44"/>
      <c r="AD12" s="44"/>
      <c r="AE12" s="44"/>
      <c r="AF12" s="47"/>
      <c r="AI12" s="62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4"/>
    </row>
    <row r="13" spans="1:50" x14ac:dyDescent="0.25">
      <c r="A13" s="35">
        <v>6</v>
      </c>
      <c r="B13" s="75"/>
      <c r="C13" s="42">
        <v>0.3263888888888889</v>
      </c>
      <c r="D13" s="82"/>
      <c r="E13" s="50"/>
      <c r="F13" s="50">
        <f>IF('計画数(10分毎)'!$M$2=A13,'計画数(10分毎)'!$P$2,0)</f>
        <v>0</v>
      </c>
      <c r="G13" s="50" t="str">
        <f t="shared" si="7"/>
        <v>-</v>
      </c>
      <c r="H13" s="50" t="str">
        <f t="shared" si="0"/>
        <v>-</v>
      </c>
      <c r="I13" s="51" t="str">
        <f>IF(H13&lt;&gt;"-",H13*60/'計画数(10分毎)'!$I$2*80%,"-")</f>
        <v>-</v>
      </c>
      <c r="J13" s="50">
        <f>IF('計画数(10分毎)'!$M$3=A13,'計画数(10分毎)'!$P$3,0)</f>
        <v>0</v>
      </c>
      <c r="K13" s="50" t="str">
        <f t="shared" si="8"/>
        <v>-</v>
      </c>
      <c r="L13" s="50" t="str">
        <f t="shared" si="1"/>
        <v>-</v>
      </c>
      <c r="M13" s="51" t="str">
        <f>IF(L13&lt;&gt;"-",L13*60/'計画数(10分毎)'!$I$3*80%,"-")</f>
        <v>-</v>
      </c>
      <c r="N13" s="50">
        <f>IF('計画数(10分毎)'!$M$4=A13,'計画数(10分毎)'!$P$4,0)</f>
        <v>0</v>
      </c>
      <c r="O13" s="50" t="str">
        <f t="shared" si="9"/>
        <v>-</v>
      </c>
      <c r="P13" s="50" t="str">
        <f t="shared" si="2"/>
        <v>-</v>
      </c>
      <c r="Q13" s="51" t="str">
        <f>IF(P13&lt;&gt;"-",P13*60/'計画数(10分毎)'!$I$4*80%,"-")</f>
        <v>-</v>
      </c>
      <c r="R13" s="50">
        <f>IF('計画数(10分毎)'!$M$5=A13,'計画数(10分毎)'!$P$5,0)</f>
        <v>0</v>
      </c>
      <c r="S13" s="50" t="str">
        <f t="shared" si="10"/>
        <v>-</v>
      </c>
      <c r="T13" s="50" t="str">
        <f t="shared" si="3"/>
        <v>-</v>
      </c>
      <c r="U13" s="51" t="str">
        <f>IF(T13&lt;&gt;"-",T13*60/'計画数(10分毎)'!$I$5*80%,"-")</f>
        <v>-</v>
      </c>
      <c r="V13" s="50">
        <f>IF('計画数(10分毎)'!$M$6=A13,'計画数(10分毎)'!$P$6,0)</f>
        <v>0</v>
      </c>
      <c r="W13" s="50" t="str">
        <f t="shared" si="11"/>
        <v>-</v>
      </c>
      <c r="X13" s="50" t="str">
        <f t="shared" si="4"/>
        <v>-</v>
      </c>
      <c r="Y13" s="51" t="str">
        <f>IF(X13&lt;&gt;"-",X13*60/'計画数(10分毎)'!$I$6*80%,"-")</f>
        <v>-</v>
      </c>
      <c r="Z13" s="51" t="str">
        <f t="shared" si="5"/>
        <v>-</v>
      </c>
      <c r="AA13" s="51">
        <f t="shared" si="6"/>
        <v>0</v>
      </c>
      <c r="AB13" s="54"/>
      <c r="AC13" s="50"/>
      <c r="AD13" s="50"/>
      <c r="AE13" s="50"/>
      <c r="AF13" s="55"/>
      <c r="AI13" s="62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4"/>
    </row>
    <row r="14" spans="1:50" x14ac:dyDescent="0.25">
      <c r="A14" s="35">
        <v>7</v>
      </c>
      <c r="B14" s="73">
        <v>0.33333333333333298</v>
      </c>
      <c r="C14" s="36">
        <v>0.33333333333333331</v>
      </c>
      <c r="D14" s="83"/>
      <c r="E14" s="38"/>
      <c r="F14" s="38">
        <f>IF('計画数(10分毎)'!$M$2=A14,'計画数(10分毎)'!$P$2,0)</f>
        <v>0</v>
      </c>
      <c r="G14" s="38" t="str">
        <f t="shared" si="7"/>
        <v>-</v>
      </c>
      <c r="H14" s="38" t="str">
        <f t="shared" si="0"/>
        <v>-</v>
      </c>
      <c r="I14" s="39" t="str">
        <f>IF(H14&lt;&gt;"-",H14*60/'計画数(10分毎)'!$I$2*80%,"-")</f>
        <v>-</v>
      </c>
      <c r="J14" s="38">
        <f>IF('計画数(10分毎)'!$M$3=A14,'計画数(10分毎)'!$P$3,0)</f>
        <v>0</v>
      </c>
      <c r="K14" s="38" t="str">
        <f t="shared" si="8"/>
        <v>-</v>
      </c>
      <c r="L14" s="38" t="str">
        <f t="shared" si="1"/>
        <v>-</v>
      </c>
      <c r="M14" s="39" t="str">
        <f>IF(L14&lt;&gt;"-",L14*60/'計画数(10分毎)'!$I$3*80%,"-")</f>
        <v>-</v>
      </c>
      <c r="N14" s="38">
        <f>IF('計画数(10分毎)'!$M$4=A14,'計画数(10分毎)'!$P$4,0)</f>
        <v>0</v>
      </c>
      <c r="O14" s="38" t="str">
        <f t="shared" si="9"/>
        <v>-</v>
      </c>
      <c r="P14" s="38" t="str">
        <f t="shared" si="2"/>
        <v>-</v>
      </c>
      <c r="Q14" s="39" t="str">
        <f>IF(P14&lt;&gt;"-",P14*60/'計画数(10分毎)'!$I$4*80%,"-")</f>
        <v>-</v>
      </c>
      <c r="R14" s="38">
        <f>IF('計画数(10分毎)'!$M$5=A14,'計画数(10分毎)'!$P$5,0)</f>
        <v>0</v>
      </c>
      <c r="S14" s="38" t="str">
        <f t="shared" si="10"/>
        <v>-</v>
      </c>
      <c r="T14" s="38" t="str">
        <f t="shared" si="3"/>
        <v>-</v>
      </c>
      <c r="U14" s="39" t="str">
        <f>IF(T14&lt;&gt;"-",T14*60/'計画数(10分毎)'!$I$5*80%,"-")</f>
        <v>-</v>
      </c>
      <c r="V14" s="38">
        <f>IF('計画数(10分毎)'!$M$6=A14,'計画数(10分毎)'!$P$6,0)</f>
        <v>0</v>
      </c>
      <c r="W14" s="38" t="str">
        <f t="shared" si="11"/>
        <v>-</v>
      </c>
      <c r="X14" s="38" t="str">
        <f t="shared" si="4"/>
        <v>-</v>
      </c>
      <c r="Y14" s="39" t="str">
        <f>IF(X14&lt;&gt;"-",X14*60/'計画数(10分毎)'!$I$6*80%,"-")</f>
        <v>-</v>
      </c>
      <c r="Z14" s="39" t="str">
        <f t="shared" si="5"/>
        <v>-</v>
      </c>
      <c r="AA14" s="39">
        <f t="shared" si="6"/>
        <v>0</v>
      </c>
      <c r="AB14" s="40"/>
      <c r="AC14" s="38"/>
      <c r="AD14" s="38"/>
      <c r="AE14" s="38"/>
      <c r="AF14" s="41"/>
      <c r="AI14" s="62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4"/>
    </row>
    <row r="15" spans="1:50" x14ac:dyDescent="0.25">
      <c r="A15" s="35">
        <v>8</v>
      </c>
      <c r="B15" s="74"/>
      <c r="C15" s="42">
        <v>0.34027777777777773</v>
      </c>
      <c r="D15" s="80"/>
      <c r="E15" s="44"/>
      <c r="F15" s="44">
        <f>IF('計画数(10分毎)'!$M$2=A15,'計画数(10分毎)'!$P$2,0)</f>
        <v>0</v>
      </c>
      <c r="G15" s="44" t="str">
        <f t="shared" si="7"/>
        <v>-</v>
      </c>
      <c r="H15" s="44" t="str">
        <f t="shared" si="0"/>
        <v>-</v>
      </c>
      <c r="I15" s="45" t="str">
        <f>IF(H15&lt;&gt;"-",H15*60/'計画数(10分毎)'!$I$2*80%,"-")</f>
        <v>-</v>
      </c>
      <c r="J15" s="44">
        <f>IF('計画数(10分毎)'!$M$3=A15,'計画数(10分毎)'!$P$3,0)</f>
        <v>0</v>
      </c>
      <c r="K15" s="44" t="str">
        <f t="shared" si="8"/>
        <v>-</v>
      </c>
      <c r="L15" s="44" t="str">
        <f t="shared" si="1"/>
        <v>-</v>
      </c>
      <c r="M15" s="45" t="str">
        <f>IF(L15&lt;&gt;"-",L15*60/'計画数(10分毎)'!$I$3*80%,"-")</f>
        <v>-</v>
      </c>
      <c r="N15" s="44">
        <f>IF('計画数(10分毎)'!$M$4=A15,'計画数(10分毎)'!$P$4,0)</f>
        <v>0</v>
      </c>
      <c r="O15" s="44" t="str">
        <f t="shared" si="9"/>
        <v>-</v>
      </c>
      <c r="P15" s="44" t="str">
        <f t="shared" si="2"/>
        <v>-</v>
      </c>
      <c r="Q15" s="45" t="str">
        <f>IF(P15&lt;&gt;"-",P15*60/'計画数(10分毎)'!$I$4*80%,"-")</f>
        <v>-</v>
      </c>
      <c r="R15" s="44">
        <f>IF('計画数(10分毎)'!$M$5=A15,'計画数(10分毎)'!$P$5,0)</f>
        <v>0</v>
      </c>
      <c r="S15" s="44" t="str">
        <f t="shared" si="10"/>
        <v>-</v>
      </c>
      <c r="T15" s="44" t="str">
        <f t="shared" si="3"/>
        <v>-</v>
      </c>
      <c r="U15" s="45" t="str">
        <f>IF(T15&lt;&gt;"-",T15*60/'計画数(10分毎)'!$I$5*80%,"-")</f>
        <v>-</v>
      </c>
      <c r="V15" s="44">
        <f>IF('計画数(10分毎)'!$M$6=A15,'計画数(10分毎)'!$P$6,0)</f>
        <v>0</v>
      </c>
      <c r="W15" s="44" t="str">
        <f t="shared" si="11"/>
        <v>-</v>
      </c>
      <c r="X15" s="44" t="str">
        <f t="shared" si="4"/>
        <v>-</v>
      </c>
      <c r="Y15" s="45" t="str">
        <f>IF(X15&lt;&gt;"-",X15*60/'計画数(10分毎)'!$I$6*80%,"-")</f>
        <v>-</v>
      </c>
      <c r="Z15" s="45" t="str">
        <f t="shared" si="5"/>
        <v>-</v>
      </c>
      <c r="AA15" s="45">
        <f t="shared" si="6"/>
        <v>0</v>
      </c>
      <c r="AB15" s="46"/>
      <c r="AC15" s="44"/>
      <c r="AD15" s="44"/>
      <c r="AE15" s="44"/>
      <c r="AF15" s="47"/>
      <c r="AI15" s="62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4"/>
    </row>
    <row r="16" spans="1:50" x14ac:dyDescent="0.25">
      <c r="A16" s="35">
        <v>9</v>
      </c>
      <c r="B16" s="74"/>
      <c r="C16" s="48">
        <v>0.34722222222222227</v>
      </c>
      <c r="D16" s="81"/>
      <c r="E16" s="49"/>
      <c r="F16" s="50">
        <f>IF('計画数(10分毎)'!$M$2=A16,'計画数(10分毎)'!$P$2,0)</f>
        <v>0</v>
      </c>
      <c r="G16" s="50" t="str">
        <f t="shared" si="7"/>
        <v>-</v>
      </c>
      <c r="H16" s="50" t="str">
        <f t="shared" si="0"/>
        <v>-</v>
      </c>
      <c r="I16" s="51" t="str">
        <f>IF(H16&lt;&gt;"-",H16*60/'計画数(10分毎)'!$I$2*80%,"-")</f>
        <v>-</v>
      </c>
      <c r="J16" s="50">
        <f>IF('計画数(10分毎)'!$M$3=A16,'計画数(10分毎)'!$P$3,0)</f>
        <v>0</v>
      </c>
      <c r="K16" s="50" t="str">
        <f t="shared" si="8"/>
        <v>-</v>
      </c>
      <c r="L16" s="50" t="str">
        <f t="shared" si="1"/>
        <v>-</v>
      </c>
      <c r="M16" s="51" t="str">
        <f>IF(L16&lt;&gt;"-",L16*60/'計画数(10分毎)'!$I$3*80%,"-")</f>
        <v>-</v>
      </c>
      <c r="N16" s="50">
        <f>IF('計画数(10分毎)'!$M$4=A16,'計画数(10分毎)'!$P$4,0)</f>
        <v>0</v>
      </c>
      <c r="O16" s="50" t="str">
        <f t="shared" si="9"/>
        <v>-</v>
      </c>
      <c r="P16" s="50" t="str">
        <f t="shared" si="2"/>
        <v>-</v>
      </c>
      <c r="Q16" s="51" t="str">
        <f>IF(P16&lt;&gt;"-",P16*60/'計画数(10分毎)'!$I$4*80%,"-")</f>
        <v>-</v>
      </c>
      <c r="R16" s="50">
        <f>IF('計画数(10分毎)'!$M$5=A16,'計画数(10分毎)'!$P$5,0)</f>
        <v>0</v>
      </c>
      <c r="S16" s="50" t="str">
        <f t="shared" si="10"/>
        <v>-</v>
      </c>
      <c r="T16" s="50" t="str">
        <f t="shared" si="3"/>
        <v>-</v>
      </c>
      <c r="U16" s="51" t="str">
        <f>IF(T16&lt;&gt;"-",T16*60/'計画数(10分毎)'!$I$5*80%,"-")</f>
        <v>-</v>
      </c>
      <c r="V16" s="50">
        <f>IF('計画数(10分毎)'!$M$6=A16,'計画数(10分毎)'!$P$6,0)</f>
        <v>0</v>
      </c>
      <c r="W16" s="50" t="str">
        <f t="shared" si="11"/>
        <v>-</v>
      </c>
      <c r="X16" s="50" t="str">
        <f t="shared" si="4"/>
        <v>-</v>
      </c>
      <c r="Y16" s="51" t="str">
        <f>IF(X16&lt;&gt;"-",X16*60/'計画数(10分毎)'!$I$6*80%,"-")</f>
        <v>-</v>
      </c>
      <c r="Z16" s="51" t="str">
        <f t="shared" si="5"/>
        <v>-</v>
      </c>
      <c r="AA16" s="51">
        <f t="shared" si="6"/>
        <v>0</v>
      </c>
      <c r="AB16" s="52"/>
      <c r="AC16" s="49"/>
      <c r="AD16" s="49"/>
      <c r="AE16" s="49"/>
      <c r="AF16" s="53"/>
      <c r="AI16" s="62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4"/>
    </row>
    <row r="17" spans="1:50" x14ac:dyDescent="0.25">
      <c r="A17" s="35">
        <v>10</v>
      </c>
      <c r="B17" s="74"/>
      <c r="C17" s="42">
        <v>0.35416666666666669</v>
      </c>
      <c r="D17" s="79"/>
      <c r="E17" s="38"/>
      <c r="F17" s="38">
        <f>IF('計画数(10分毎)'!$M$2=A17,'計画数(10分毎)'!$P$2,0)</f>
        <v>0</v>
      </c>
      <c r="G17" s="38" t="str">
        <f t="shared" ref="G17:G73" si="12">IF(OR(F17&gt;0,G16&lt;&gt;"-"),F17,"-")</f>
        <v>-</v>
      </c>
      <c r="H17" s="38" t="str">
        <f t="shared" ref="H17:H73" si="13">IF(G17=0,10,IF(G17&gt;0,G17))</f>
        <v>-</v>
      </c>
      <c r="I17" s="39" t="str">
        <f>IF(H17&lt;&gt;"-",H17*60/'計画数(10分毎)'!$I$2*80%,"-")</f>
        <v>-</v>
      </c>
      <c r="J17" s="38">
        <f>IF('計画数(10分毎)'!$M$3=A17,'計画数(10分毎)'!$P$3,0)</f>
        <v>0</v>
      </c>
      <c r="K17" s="38" t="str">
        <f t="shared" ref="K17:K73" si="14">IF(OR(J17&gt;0,K16&lt;&gt;"-"),J17,"-")</f>
        <v>-</v>
      </c>
      <c r="L17" s="38" t="str">
        <f t="shared" ref="L17:L73" si="15">IF(K17=0,10,IF(K17&gt;0,K17))</f>
        <v>-</v>
      </c>
      <c r="M17" s="39" t="str">
        <f>IF(L17&lt;&gt;"-",L17*60/'計画数(10分毎)'!$I$3*80%,"-")</f>
        <v>-</v>
      </c>
      <c r="N17" s="38">
        <f>IF('計画数(10分毎)'!$M$4=A17,'計画数(10分毎)'!$P$4,0)</f>
        <v>0</v>
      </c>
      <c r="O17" s="38" t="str">
        <f t="shared" ref="O17:O73" si="16">IF(OR(N17&gt;0,O16&lt;&gt;"-"),N17,"-")</f>
        <v>-</v>
      </c>
      <c r="P17" s="38" t="str">
        <f t="shared" ref="P17:P73" si="17">IF(O17=0,10,IF(O17&gt;0,O17))</f>
        <v>-</v>
      </c>
      <c r="Q17" s="39" t="str">
        <f>IF(P17&lt;&gt;"-",P17*60/'計画数(10分毎)'!$I$4*80%,"-")</f>
        <v>-</v>
      </c>
      <c r="R17" s="38">
        <f>IF('計画数(10分毎)'!$M$5=A17,'計画数(10分毎)'!$P$5,0)</f>
        <v>0</v>
      </c>
      <c r="S17" s="38" t="str">
        <f t="shared" ref="S17:S73" si="18">IF(OR(R17&gt;0,S16&lt;&gt;"-"),R17,"-")</f>
        <v>-</v>
      </c>
      <c r="T17" s="38" t="str">
        <f t="shared" ref="T17:T73" si="19">IF(S17=0,10,IF(S17&gt;0,S17))</f>
        <v>-</v>
      </c>
      <c r="U17" s="39" t="str">
        <f>IF(T17&lt;&gt;"-",T17*60/'計画数(10分毎)'!$I$5*80%,"-")</f>
        <v>-</v>
      </c>
      <c r="V17" s="38">
        <f>IF('計画数(10分毎)'!$M$6=A17,'計画数(10分毎)'!$P$6,0)</f>
        <v>0</v>
      </c>
      <c r="W17" s="38" t="str">
        <f t="shared" ref="W17:W73" si="20">IF(OR(V17&gt;0,W16&lt;&gt;"-"),V17,"-")</f>
        <v>-</v>
      </c>
      <c r="X17" s="38" t="str">
        <f t="shared" ref="X17:X73" si="21">IF(W17=0,10,IF(W17&gt;0,W17))</f>
        <v>-</v>
      </c>
      <c r="Y17" s="39" t="str">
        <f>IF(X17&lt;&gt;"-",X17*60/'計画数(10分毎)'!$I$6*80%,"-")</f>
        <v>-</v>
      </c>
      <c r="Z17" s="39" t="str">
        <f t="shared" ref="Z17:Z73" si="22">IF(Y17&lt;&gt;"-",Y17,IF(U17&lt;&gt;"-",U17,IF(Q17&lt;&gt;"-",Q17,IF(M17&lt;&gt;"-",M17,I17))))</f>
        <v>-</v>
      </c>
      <c r="AA17" s="39">
        <f t="shared" ref="AA17:AA73" si="23">IF(Z17="-",0,Z17)</f>
        <v>0</v>
      </c>
      <c r="AB17" s="40"/>
      <c r="AC17" s="38"/>
      <c r="AD17" s="38"/>
      <c r="AE17" s="38"/>
      <c r="AF17" s="41"/>
      <c r="AI17" s="62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</row>
    <row r="18" spans="1:50" x14ac:dyDescent="0.25">
      <c r="A18" s="35">
        <v>11</v>
      </c>
      <c r="B18" s="74"/>
      <c r="C18" s="42">
        <v>0.3611111111111111</v>
      </c>
      <c r="D18" s="80"/>
      <c r="E18" s="44"/>
      <c r="F18" s="44">
        <f>IF('計画数(10分毎)'!$M$2=A18,'計画数(10分毎)'!$P$2,0)</f>
        <v>0</v>
      </c>
      <c r="G18" s="44" t="str">
        <f t="shared" si="12"/>
        <v>-</v>
      </c>
      <c r="H18" s="44" t="str">
        <f t="shared" si="13"/>
        <v>-</v>
      </c>
      <c r="I18" s="45" t="str">
        <f>IF(H18&lt;&gt;"-",H18*60/'計画数(10分毎)'!$I$2*80%,"-")</f>
        <v>-</v>
      </c>
      <c r="J18" s="44">
        <f>IF('計画数(10分毎)'!$M$3=A18,'計画数(10分毎)'!$P$3,0)</f>
        <v>0</v>
      </c>
      <c r="K18" s="44" t="str">
        <f t="shared" si="14"/>
        <v>-</v>
      </c>
      <c r="L18" s="44" t="str">
        <f t="shared" si="15"/>
        <v>-</v>
      </c>
      <c r="M18" s="45" t="str">
        <f>IF(L18&lt;&gt;"-",L18*60/'計画数(10分毎)'!$I$3*80%,"-")</f>
        <v>-</v>
      </c>
      <c r="N18" s="44">
        <f>IF('計画数(10分毎)'!$M$4=A18,'計画数(10分毎)'!$P$4,0)</f>
        <v>0</v>
      </c>
      <c r="O18" s="44" t="str">
        <f t="shared" si="16"/>
        <v>-</v>
      </c>
      <c r="P18" s="44" t="str">
        <f t="shared" si="17"/>
        <v>-</v>
      </c>
      <c r="Q18" s="45" t="str">
        <f>IF(P18&lt;&gt;"-",P18*60/'計画数(10分毎)'!$I$4*80%,"-")</f>
        <v>-</v>
      </c>
      <c r="R18" s="44">
        <f>IF('計画数(10分毎)'!$M$5=A18,'計画数(10分毎)'!$P$5,0)</f>
        <v>0</v>
      </c>
      <c r="S18" s="44" t="str">
        <f t="shared" si="18"/>
        <v>-</v>
      </c>
      <c r="T18" s="44" t="str">
        <f t="shared" si="19"/>
        <v>-</v>
      </c>
      <c r="U18" s="45" t="str">
        <f>IF(T18&lt;&gt;"-",T18*60/'計画数(10分毎)'!$I$5*80%,"-")</f>
        <v>-</v>
      </c>
      <c r="V18" s="44">
        <f>IF('計画数(10分毎)'!$M$6=A18,'計画数(10分毎)'!$P$6,0)</f>
        <v>0</v>
      </c>
      <c r="W18" s="44" t="str">
        <f t="shared" si="20"/>
        <v>-</v>
      </c>
      <c r="X18" s="44" t="str">
        <f t="shared" si="21"/>
        <v>-</v>
      </c>
      <c r="Y18" s="45" t="str">
        <f>IF(X18&lt;&gt;"-",X18*60/'計画数(10分毎)'!$I$6*80%,"-")</f>
        <v>-</v>
      </c>
      <c r="Z18" s="45" t="str">
        <f t="shared" si="22"/>
        <v>-</v>
      </c>
      <c r="AA18" s="45">
        <f t="shared" si="23"/>
        <v>0</v>
      </c>
      <c r="AB18" s="46"/>
      <c r="AC18" s="44"/>
      <c r="AD18" s="44"/>
      <c r="AE18" s="44"/>
      <c r="AF18" s="47"/>
    </row>
    <row r="19" spans="1:50" x14ac:dyDescent="0.25">
      <c r="A19" s="35">
        <v>12</v>
      </c>
      <c r="B19" s="75"/>
      <c r="C19" s="42">
        <v>0.36805555555555558</v>
      </c>
      <c r="D19" s="82"/>
      <c r="E19" s="49"/>
      <c r="F19" s="50">
        <f>IF('計画数(10分毎)'!$M$2=A19,'計画数(10分毎)'!$P$2,0)</f>
        <v>0</v>
      </c>
      <c r="G19" s="50" t="str">
        <f t="shared" si="12"/>
        <v>-</v>
      </c>
      <c r="H19" s="50" t="str">
        <f t="shared" si="13"/>
        <v>-</v>
      </c>
      <c r="I19" s="51" t="str">
        <f>IF(H19&lt;&gt;"-",H19*60/'計画数(10分毎)'!$I$2*80%,"-")</f>
        <v>-</v>
      </c>
      <c r="J19" s="50">
        <f>IF('計画数(10分毎)'!$M$3=A19,'計画数(10分毎)'!$P$3,0)</f>
        <v>0</v>
      </c>
      <c r="K19" s="50" t="str">
        <f t="shared" si="14"/>
        <v>-</v>
      </c>
      <c r="L19" s="50" t="str">
        <f t="shared" si="15"/>
        <v>-</v>
      </c>
      <c r="M19" s="51" t="str">
        <f>IF(L19&lt;&gt;"-",L19*60/'計画数(10分毎)'!$I$3*80%,"-")</f>
        <v>-</v>
      </c>
      <c r="N19" s="50">
        <f>IF('計画数(10分毎)'!$M$4=A19,'計画数(10分毎)'!$P$4,0)</f>
        <v>0</v>
      </c>
      <c r="O19" s="50" t="str">
        <f t="shared" si="16"/>
        <v>-</v>
      </c>
      <c r="P19" s="50" t="str">
        <f t="shared" si="17"/>
        <v>-</v>
      </c>
      <c r="Q19" s="51" t="str">
        <f>IF(P19&lt;&gt;"-",P19*60/'計画数(10分毎)'!$I$4*80%,"-")</f>
        <v>-</v>
      </c>
      <c r="R19" s="50">
        <f>IF('計画数(10分毎)'!$M$5=A19,'計画数(10分毎)'!$P$5,0)</f>
        <v>0</v>
      </c>
      <c r="S19" s="50" t="str">
        <f t="shared" si="18"/>
        <v>-</v>
      </c>
      <c r="T19" s="50" t="str">
        <f t="shared" si="19"/>
        <v>-</v>
      </c>
      <c r="U19" s="51" t="str">
        <f>IF(T19&lt;&gt;"-",T19*60/'計画数(10分毎)'!$I$5*80%,"-")</f>
        <v>-</v>
      </c>
      <c r="V19" s="50">
        <f>IF('計画数(10分毎)'!$M$6=A19,'計画数(10分毎)'!$P$6,0)</f>
        <v>0</v>
      </c>
      <c r="W19" s="50" t="str">
        <f t="shared" si="20"/>
        <v>-</v>
      </c>
      <c r="X19" s="50" t="str">
        <f t="shared" si="21"/>
        <v>-</v>
      </c>
      <c r="Y19" s="51" t="str">
        <f>IF(X19&lt;&gt;"-",X19*60/'計画数(10分毎)'!$I$6*80%,"-")</f>
        <v>-</v>
      </c>
      <c r="Z19" s="51" t="str">
        <f t="shared" si="22"/>
        <v>-</v>
      </c>
      <c r="AA19" s="51">
        <f t="shared" si="23"/>
        <v>0</v>
      </c>
      <c r="AB19" s="52"/>
      <c r="AC19" s="49"/>
      <c r="AD19" s="49"/>
      <c r="AE19" s="49"/>
      <c r="AF19" s="53"/>
    </row>
    <row r="20" spans="1:50" x14ac:dyDescent="0.25">
      <c r="A20" s="35">
        <v>13</v>
      </c>
      <c r="B20" s="73">
        <v>0.375</v>
      </c>
      <c r="C20" s="36">
        <v>0.375</v>
      </c>
      <c r="D20" s="83"/>
      <c r="E20" s="38"/>
      <c r="F20" s="38">
        <f>IF('計画数(10分毎)'!$M$2=A20,'計画数(10分毎)'!$P$2,0)</f>
        <v>0</v>
      </c>
      <c r="G20" s="38" t="str">
        <f t="shared" si="12"/>
        <v>-</v>
      </c>
      <c r="H20" s="38" t="str">
        <f t="shared" si="13"/>
        <v>-</v>
      </c>
      <c r="I20" s="39" t="str">
        <f>IF(H20&lt;&gt;"-",H20*60/'計画数(10分毎)'!$I$2*80%,"-")</f>
        <v>-</v>
      </c>
      <c r="J20" s="38">
        <f>IF('計画数(10分毎)'!$M$3=A20,'計画数(10分毎)'!$P$3,0)</f>
        <v>0</v>
      </c>
      <c r="K20" s="38" t="str">
        <f t="shared" si="14"/>
        <v>-</v>
      </c>
      <c r="L20" s="38" t="str">
        <f t="shared" si="15"/>
        <v>-</v>
      </c>
      <c r="M20" s="39" t="str">
        <f>IF(L20&lt;&gt;"-",L20*60/'計画数(10分毎)'!$I$3*80%,"-")</f>
        <v>-</v>
      </c>
      <c r="N20" s="38">
        <f>IF('計画数(10分毎)'!$M$4=A20,'計画数(10分毎)'!$P$4,0)</f>
        <v>0</v>
      </c>
      <c r="O20" s="38" t="str">
        <f t="shared" si="16"/>
        <v>-</v>
      </c>
      <c r="P20" s="38" t="str">
        <f t="shared" si="17"/>
        <v>-</v>
      </c>
      <c r="Q20" s="39" t="str">
        <f>IF(P20&lt;&gt;"-",P20*60/'計画数(10分毎)'!$I$4*80%,"-")</f>
        <v>-</v>
      </c>
      <c r="R20" s="38">
        <f>IF('計画数(10分毎)'!$M$5=A20,'計画数(10分毎)'!$P$5,0)</f>
        <v>0</v>
      </c>
      <c r="S20" s="38" t="str">
        <f t="shared" si="18"/>
        <v>-</v>
      </c>
      <c r="T20" s="38" t="str">
        <f t="shared" si="19"/>
        <v>-</v>
      </c>
      <c r="U20" s="39" t="str">
        <f>IF(T20&lt;&gt;"-",T20*60/'計画数(10分毎)'!$I$5*80%,"-")</f>
        <v>-</v>
      </c>
      <c r="V20" s="38">
        <f>IF('計画数(10分毎)'!$M$6=A20,'計画数(10分毎)'!$P$6,0)</f>
        <v>0</v>
      </c>
      <c r="W20" s="38" t="str">
        <f t="shared" si="20"/>
        <v>-</v>
      </c>
      <c r="X20" s="38" t="str">
        <f t="shared" si="21"/>
        <v>-</v>
      </c>
      <c r="Y20" s="39" t="str">
        <f>IF(X20&lt;&gt;"-",X20*60/'計画数(10分毎)'!$I$6*80%,"-")</f>
        <v>-</v>
      </c>
      <c r="Z20" s="39" t="str">
        <f t="shared" si="22"/>
        <v>-</v>
      </c>
      <c r="AA20" s="39">
        <f t="shared" si="23"/>
        <v>0</v>
      </c>
      <c r="AB20" s="40"/>
      <c r="AC20" s="38"/>
      <c r="AD20" s="38"/>
      <c r="AE20" s="38"/>
      <c r="AF20" s="41"/>
    </row>
    <row r="21" spans="1:50" x14ac:dyDescent="0.25">
      <c r="A21" s="35">
        <v>14</v>
      </c>
      <c r="B21" s="74"/>
      <c r="C21" s="57">
        <v>0.38194444444444442</v>
      </c>
      <c r="D21" s="84" t="s">
        <v>11</v>
      </c>
      <c r="E21" s="44"/>
      <c r="F21" s="44">
        <f>IF('計画数(10分毎)'!$M$2=A21,'計画数(10分毎)'!$P$2,0)</f>
        <v>0</v>
      </c>
      <c r="G21" s="44" t="str">
        <f t="shared" si="12"/>
        <v>-</v>
      </c>
      <c r="H21" s="44" t="str">
        <f t="shared" si="13"/>
        <v>-</v>
      </c>
      <c r="I21" s="45" t="str">
        <f>IF(H21&lt;&gt;"-",H21*60/'計画数(10分毎)'!$I$2*80%,"-")</f>
        <v>-</v>
      </c>
      <c r="J21" s="44">
        <f>IF('計画数(10分毎)'!$M$3=A21,'計画数(10分毎)'!$P$3,0)</f>
        <v>0</v>
      </c>
      <c r="K21" s="44" t="str">
        <f t="shared" si="14"/>
        <v>-</v>
      </c>
      <c r="L21" s="44" t="str">
        <f t="shared" si="15"/>
        <v>-</v>
      </c>
      <c r="M21" s="45" t="str">
        <f>IF(L21&lt;&gt;"-",L21*60/'計画数(10分毎)'!$I$3*80%,"-")</f>
        <v>-</v>
      </c>
      <c r="N21" s="44">
        <f>IF('計画数(10分毎)'!$M$4=A21,'計画数(10分毎)'!$P$4,0)</f>
        <v>0</v>
      </c>
      <c r="O21" s="44" t="str">
        <f t="shared" si="16"/>
        <v>-</v>
      </c>
      <c r="P21" s="44" t="str">
        <f t="shared" si="17"/>
        <v>-</v>
      </c>
      <c r="Q21" s="45" t="str">
        <f>IF(P21&lt;&gt;"-",P21*60/'計画数(10分毎)'!$I$4*80%,"-")</f>
        <v>-</v>
      </c>
      <c r="R21" s="44">
        <f>IF('計画数(10分毎)'!$M$5=A21,'計画数(10分毎)'!$P$5,0)</f>
        <v>0</v>
      </c>
      <c r="S21" s="44" t="str">
        <f t="shared" si="18"/>
        <v>-</v>
      </c>
      <c r="T21" s="44" t="str">
        <f t="shared" si="19"/>
        <v>-</v>
      </c>
      <c r="U21" s="45" t="str">
        <f>IF(T21&lt;&gt;"-",T21*60/'計画数(10分毎)'!$I$5*80%,"-")</f>
        <v>-</v>
      </c>
      <c r="V21" s="44">
        <f>IF('計画数(10分毎)'!$M$6=A21,'計画数(10分毎)'!$P$6,0)</f>
        <v>0</v>
      </c>
      <c r="W21" s="44" t="str">
        <f t="shared" si="20"/>
        <v>-</v>
      </c>
      <c r="X21" s="44" t="str">
        <f t="shared" si="21"/>
        <v>-</v>
      </c>
      <c r="Y21" s="45" t="str">
        <f>IF(X21&lt;&gt;"-",X21*60/'計画数(10分毎)'!$I$6*80%,"-")</f>
        <v>-</v>
      </c>
      <c r="Z21" s="45" t="str">
        <f t="shared" si="22"/>
        <v>-</v>
      </c>
      <c r="AA21" s="45">
        <f t="shared" si="23"/>
        <v>0</v>
      </c>
      <c r="AB21" s="46"/>
      <c r="AC21" s="44"/>
      <c r="AD21" s="44"/>
      <c r="AE21" s="44"/>
      <c r="AF21" s="47"/>
    </row>
    <row r="22" spans="1:50" x14ac:dyDescent="0.25">
      <c r="A22" s="35">
        <v>15</v>
      </c>
      <c r="B22" s="74"/>
      <c r="C22" s="48">
        <v>0.3888888888888889</v>
      </c>
      <c r="D22" s="81"/>
      <c r="E22" s="49"/>
      <c r="F22" s="50">
        <f>IF('計画数(10分毎)'!$M$2=A22,'計画数(10分毎)'!$P$2,0)</f>
        <v>0</v>
      </c>
      <c r="G22" s="50" t="str">
        <f t="shared" si="12"/>
        <v>-</v>
      </c>
      <c r="H22" s="50" t="str">
        <f t="shared" si="13"/>
        <v>-</v>
      </c>
      <c r="I22" s="51" t="str">
        <f>IF(H22&lt;&gt;"-",H22*60/'計画数(10分毎)'!$I$2*80%,"-")</f>
        <v>-</v>
      </c>
      <c r="J22" s="50">
        <f>IF('計画数(10分毎)'!$M$3=A22,'計画数(10分毎)'!$P$3,0)</f>
        <v>0</v>
      </c>
      <c r="K22" s="50" t="str">
        <f t="shared" si="14"/>
        <v>-</v>
      </c>
      <c r="L22" s="50" t="str">
        <f t="shared" si="15"/>
        <v>-</v>
      </c>
      <c r="M22" s="51" t="str">
        <f>IF(L22&lt;&gt;"-",L22*60/'計画数(10分毎)'!$I$3*80%,"-")</f>
        <v>-</v>
      </c>
      <c r="N22" s="50">
        <f>IF('計画数(10分毎)'!$M$4=A22,'計画数(10分毎)'!$P$4,0)</f>
        <v>0</v>
      </c>
      <c r="O22" s="50" t="str">
        <f t="shared" si="16"/>
        <v>-</v>
      </c>
      <c r="P22" s="50" t="str">
        <f t="shared" si="17"/>
        <v>-</v>
      </c>
      <c r="Q22" s="51" t="str">
        <f>IF(P22&lt;&gt;"-",P22*60/'計画数(10分毎)'!$I$4*80%,"-")</f>
        <v>-</v>
      </c>
      <c r="R22" s="50">
        <f>IF('計画数(10分毎)'!$M$5=A22,'計画数(10分毎)'!$P$5,0)</f>
        <v>0</v>
      </c>
      <c r="S22" s="50" t="str">
        <f t="shared" si="18"/>
        <v>-</v>
      </c>
      <c r="T22" s="50" t="str">
        <f t="shared" si="19"/>
        <v>-</v>
      </c>
      <c r="U22" s="51" t="str">
        <f>IF(T22&lt;&gt;"-",T22*60/'計画数(10分毎)'!$I$5*80%,"-")</f>
        <v>-</v>
      </c>
      <c r="V22" s="50">
        <f>IF('計画数(10分毎)'!$M$6=A22,'計画数(10分毎)'!$P$6,0)</f>
        <v>0</v>
      </c>
      <c r="W22" s="50" t="str">
        <f t="shared" si="20"/>
        <v>-</v>
      </c>
      <c r="X22" s="50" t="str">
        <f t="shared" si="21"/>
        <v>-</v>
      </c>
      <c r="Y22" s="51" t="str">
        <f>IF(X22&lt;&gt;"-",X22*60/'計画数(10分毎)'!$I$6*80%,"-")</f>
        <v>-</v>
      </c>
      <c r="Z22" s="51" t="str">
        <f t="shared" si="22"/>
        <v>-</v>
      </c>
      <c r="AA22" s="51">
        <f t="shared" si="23"/>
        <v>0</v>
      </c>
      <c r="AB22" s="52"/>
      <c r="AC22" s="49"/>
      <c r="AD22" s="49"/>
      <c r="AE22" s="49"/>
      <c r="AF22" s="53"/>
    </row>
    <row r="23" spans="1:50" x14ac:dyDescent="0.25">
      <c r="A23" s="35">
        <v>16</v>
      </c>
      <c r="B23" s="74"/>
      <c r="C23" s="42">
        <v>0.39583333333333331</v>
      </c>
      <c r="D23" s="79"/>
      <c r="E23" s="38"/>
      <c r="F23" s="38">
        <f>IF('計画数(10分毎)'!$M$2=A23,'計画数(10分毎)'!$P$2,0)</f>
        <v>0</v>
      </c>
      <c r="G23" s="38" t="str">
        <f t="shared" si="12"/>
        <v>-</v>
      </c>
      <c r="H23" s="38" t="str">
        <f t="shared" si="13"/>
        <v>-</v>
      </c>
      <c r="I23" s="39" t="str">
        <f>IF(H23&lt;&gt;"-",H23*60/'計画数(10分毎)'!$I$2*80%,"-")</f>
        <v>-</v>
      </c>
      <c r="J23" s="38">
        <f>IF('計画数(10分毎)'!$M$3=A23,'計画数(10分毎)'!$P$3,0)</f>
        <v>0</v>
      </c>
      <c r="K23" s="38" t="str">
        <f t="shared" si="14"/>
        <v>-</v>
      </c>
      <c r="L23" s="38" t="str">
        <f t="shared" si="15"/>
        <v>-</v>
      </c>
      <c r="M23" s="39" t="str">
        <f>IF(L23&lt;&gt;"-",L23*60/'計画数(10分毎)'!$I$3*80%,"-")</f>
        <v>-</v>
      </c>
      <c r="N23" s="38">
        <f>IF('計画数(10分毎)'!$M$4=A23,'計画数(10分毎)'!$P$4,0)</f>
        <v>0</v>
      </c>
      <c r="O23" s="38" t="str">
        <f t="shared" si="16"/>
        <v>-</v>
      </c>
      <c r="P23" s="38" t="str">
        <f t="shared" si="17"/>
        <v>-</v>
      </c>
      <c r="Q23" s="39" t="str">
        <f>IF(P23&lt;&gt;"-",P23*60/'計画数(10分毎)'!$I$4*80%,"-")</f>
        <v>-</v>
      </c>
      <c r="R23" s="38">
        <f>IF('計画数(10分毎)'!$M$5=A23,'計画数(10分毎)'!$P$5,0)</f>
        <v>0</v>
      </c>
      <c r="S23" s="38" t="str">
        <f t="shared" si="18"/>
        <v>-</v>
      </c>
      <c r="T23" s="38" t="str">
        <f t="shared" si="19"/>
        <v>-</v>
      </c>
      <c r="U23" s="39" t="str">
        <f>IF(T23&lt;&gt;"-",T23*60/'計画数(10分毎)'!$I$5*80%,"-")</f>
        <v>-</v>
      </c>
      <c r="V23" s="38">
        <f>IF('計画数(10分毎)'!$M$6=A23,'計画数(10分毎)'!$P$6,0)</f>
        <v>0</v>
      </c>
      <c r="W23" s="38" t="str">
        <f t="shared" si="20"/>
        <v>-</v>
      </c>
      <c r="X23" s="38" t="str">
        <f t="shared" si="21"/>
        <v>-</v>
      </c>
      <c r="Y23" s="39" t="str">
        <f>IF(X23&lt;&gt;"-",X23*60/'計画数(10分毎)'!$I$6*80%,"-")</f>
        <v>-</v>
      </c>
      <c r="Z23" s="39" t="str">
        <f t="shared" si="22"/>
        <v>-</v>
      </c>
      <c r="AA23" s="39">
        <f t="shared" si="23"/>
        <v>0</v>
      </c>
      <c r="AB23" s="40"/>
      <c r="AC23" s="38"/>
      <c r="AD23" s="38"/>
      <c r="AE23" s="38"/>
      <c r="AF23" s="41"/>
    </row>
    <row r="24" spans="1:50" x14ac:dyDescent="0.25">
      <c r="A24" s="35">
        <v>17</v>
      </c>
      <c r="B24" s="74"/>
      <c r="C24" s="42">
        <v>0.40277777777777773</v>
      </c>
      <c r="D24" s="80"/>
      <c r="E24" s="44"/>
      <c r="F24" s="44">
        <f>IF('計画数(10分毎)'!$M$2=A24,'計画数(10分毎)'!$P$2,0)</f>
        <v>0</v>
      </c>
      <c r="G24" s="44" t="str">
        <f t="shared" si="12"/>
        <v>-</v>
      </c>
      <c r="H24" s="44" t="str">
        <f t="shared" si="13"/>
        <v>-</v>
      </c>
      <c r="I24" s="45" t="str">
        <f>IF(H24&lt;&gt;"-",H24*60/'計画数(10分毎)'!$I$2*80%,"-")</f>
        <v>-</v>
      </c>
      <c r="J24" s="44">
        <f>IF('計画数(10分毎)'!$M$3=A24,'計画数(10分毎)'!$P$3,0)</f>
        <v>0</v>
      </c>
      <c r="K24" s="44" t="str">
        <f t="shared" si="14"/>
        <v>-</v>
      </c>
      <c r="L24" s="44" t="str">
        <f t="shared" si="15"/>
        <v>-</v>
      </c>
      <c r="M24" s="45" t="str">
        <f>IF(L24&lt;&gt;"-",L24*60/'計画数(10分毎)'!$I$3*80%,"-")</f>
        <v>-</v>
      </c>
      <c r="N24" s="44">
        <f>IF('計画数(10分毎)'!$M$4=A24,'計画数(10分毎)'!$P$4,0)</f>
        <v>0</v>
      </c>
      <c r="O24" s="44" t="str">
        <f t="shared" si="16"/>
        <v>-</v>
      </c>
      <c r="P24" s="44" t="str">
        <f t="shared" si="17"/>
        <v>-</v>
      </c>
      <c r="Q24" s="45" t="str">
        <f>IF(P24&lt;&gt;"-",P24*60/'計画数(10分毎)'!$I$4*80%,"-")</f>
        <v>-</v>
      </c>
      <c r="R24" s="44">
        <f>IF('計画数(10分毎)'!$M$5=A24,'計画数(10分毎)'!$P$5,0)</f>
        <v>0</v>
      </c>
      <c r="S24" s="44" t="str">
        <f t="shared" si="18"/>
        <v>-</v>
      </c>
      <c r="T24" s="44" t="str">
        <f t="shared" si="19"/>
        <v>-</v>
      </c>
      <c r="U24" s="45" t="str">
        <f>IF(T24&lt;&gt;"-",T24*60/'計画数(10分毎)'!$I$5*80%,"-")</f>
        <v>-</v>
      </c>
      <c r="V24" s="44">
        <f>IF('計画数(10分毎)'!$M$6=A24,'計画数(10分毎)'!$P$6,0)</f>
        <v>0</v>
      </c>
      <c r="W24" s="44" t="str">
        <f t="shared" si="20"/>
        <v>-</v>
      </c>
      <c r="X24" s="44" t="str">
        <f t="shared" si="21"/>
        <v>-</v>
      </c>
      <c r="Y24" s="45" t="str">
        <f>IF(X24&lt;&gt;"-",X24*60/'計画数(10分毎)'!$I$6*80%,"-")</f>
        <v>-</v>
      </c>
      <c r="Z24" s="45" t="str">
        <f t="shared" si="22"/>
        <v>-</v>
      </c>
      <c r="AA24" s="45">
        <f t="shared" si="23"/>
        <v>0</v>
      </c>
      <c r="AB24" s="46"/>
      <c r="AC24" s="44"/>
      <c r="AD24" s="44"/>
      <c r="AE24" s="44"/>
      <c r="AF24" s="47"/>
    </row>
    <row r="25" spans="1:50" x14ac:dyDescent="0.25">
      <c r="A25" s="35">
        <v>18</v>
      </c>
      <c r="B25" s="75"/>
      <c r="C25" s="42">
        <v>0.40972222222222227</v>
      </c>
      <c r="D25" s="82"/>
      <c r="E25" s="49"/>
      <c r="F25" s="50">
        <f>IF('計画数(10分毎)'!$M$2=A25,'計画数(10分毎)'!$P$2,0)</f>
        <v>0</v>
      </c>
      <c r="G25" s="50" t="str">
        <f t="shared" si="12"/>
        <v>-</v>
      </c>
      <c r="H25" s="50" t="str">
        <f t="shared" si="13"/>
        <v>-</v>
      </c>
      <c r="I25" s="51" t="str">
        <f>IF(H25&lt;&gt;"-",H25*60/'計画数(10分毎)'!$I$2*80%,"-")</f>
        <v>-</v>
      </c>
      <c r="J25" s="50">
        <f>IF('計画数(10分毎)'!$M$3=A25,'計画数(10分毎)'!$P$3,0)</f>
        <v>0</v>
      </c>
      <c r="K25" s="50" t="str">
        <f t="shared" si="14"/>
        <v>-</v>
      </c>
      <c r="L25" s="50" t="str">
        <f t="shared" si="15"/>
        <v>-</v>
      </c>
      <c r="M25" s="51" t="str">
        <f>IF(L25&lt;&gt;"-",L25*60/'計画数(10分毎)'!$I$3*80%,"-")</f>
        <v>-</v>
      </c>
      <c r="N25" s="50">
        <f>IF('計画数(10分毎)'!$M$4=A25,'計画数(10分毎)'!$P$4,0)</f>
        <v>0</v>
      </c>
      <c r="O25" s="50" t="str">
        <f t="shared" si="16"/>
        <v>-</v>
      </c>
      <c r="P25" s="50" t="str">
        <f t="shared" si="17"/>
        <v>-</v>
      </c>
      <c r="Q25" s="51" t="str">
        <f>IF(P25&lt;&gt;"-",P25*60/'計画数(10分毎)'!$I$4*80%,"-")</f>
        <v>-</v>
      </c>
      <c r="R25" s="50">
        <f>IF('計画数(10分毎)'!$M$5=A25,'計画数(10分毎)'!$P$5,0)</f>
        <v>0</v>
      </c>
      <c r="S25" s="50" t="str">
        <f t="shared" si="18"/>
        <v>-</v>
      </c>
      <c r="T25" s="50" t="str">
        <f t="shared" si="19"/>
        <v>-</v>
      </c>
      <c r="U25" s="51" t="str">
        <f>IF(T25&lt;&gt;"-",T25*60/'計画数(10分毎)'!$I$5*80%,"-")</f>
        <v>-</v>
      </c>
      <c r="V25" s="50">
        <f>IF('計画数(10分毎)'!$M$6=A25,'計画数(10分毎)'!$P$6,0)</f>
        <v>0</v>
      </c>
      <c r="W25" s="50" t="str">
        <f t="shared" si="20"/>
        <v>-</v>
      </c>
      <c r="X25" s="50" t="str">
        <f t="shared" si="21"/>
        <v>-</v>
      </c>
      <c r="Y25" s="51" t="str">
        <f>IF(X25&lt;&gt;"-",X25*60/'計画数(10分毎)'!$I$6*80%,"-")</f>
        <v>-</v>
      </c>
      <c r="Z25" s="51" t="str">
        <f t="shared" si="22"/>
        <v>-</v>
      </c>
      <c r="AA25" s="51">
        <f t="shared" si="23"/>
        <v>0</v>
      </c>
      <c r="AB25" s="52"/>
      <c r="AC25" s="49"/>
      <c r="AD25" s="49"/>
      <c r="AE25" s="49"/>
      <c r="AF25" s="53"/>
    </row>
    <row r="26" spans="1:50" x14ac:dyDescent="0.25">
      <c r="A26" s="35">
        <v>19</v>
      </c>
      <c r="B26" s="73">
        <v>0.41666666666666702</v>
      </c>
      <c r="C26" s="36">
        <v>0.41666666666666669</v>
      </c>
      <c r="D26" s="83"/>
      <c r="E26" s="38"/>
      <c r="F26" s="38">
        <f>IF('計画数(10分毎)'!$M$2=A26,'計画数(10分毎)'!$P$2,0)</f>
        <v>0</v>
      </c>
      <c r="G26" s="38" t="str">
        <f t="shared" si="12"/>
        <v>-</v>
      </c>
      <c r="H26" s="38" t="str">
        <f t="shared" si="13"/>
        <v>-</v>
      </c>
      <c r="I26" s="39" t="str">
        <f>IF(H26&lt;&gt;"-",H26*60/'計画数(10分毎)'!$I$2*80%,"-")</f>
        <v>-</v>
      </c>
      <c r="J26" s="38">
        <f>IF('計画数(10分毎)'!$M$3=A26,'計画数(10分毎)'!$P$3,0)</f>
        <v>0</v>
      </c>
      <c r="K26" s="38" t="str">
        <f t="shared" si="14"/>
        <v>-</v>
      </c>
      <c r="L26" s="38" t="str">
        <f t="shared" si="15"/>
        <v>-</v>
      </c>
      <c r="M26" s="39" t="str">
        <f>IF(L26&lt;&gt;"-",L26*60/'計画数(10分毎)'!$I$3*80%,"-")</f>
        <v>-</v>
      </c>
      <c r="N26" s="38">
        <f>IF('計画数(10分毎)'!$M$4=A26,'計画数(10分毎)'!$P$4,0)</f>
        <v>0</v>
      </c>
      <c r="O26" s="38" t="str">
        <f t="shared" si="16"/>
        <v>-</v>
      </c>
      <c r="P26" s="38" t="str">
        <f t="shared" si="17"/>
        <v>-</v>
      </c>
      <c r="Q26" s="39" t="str">
        <f>IF(P26&lt;&gt;"-",P26*60/'計画数(10分毎)'!$I$4*80%,"-")</f>
        <v>-</v>
      </c>
      <c r="R26" s="38">
        <f>IF('計画数(10分毎)'!$M$5=A26,'計画数(10分毎)'!$P$5,0)</f>
        <v>0</v>
      </c>
      <c r="S26" s="38" t="str">
        <f t="shared" si="18"/>
        <v>-</v>
      </c>
      <c r="T26" s="38" t="str">
        <f t="shared" si="19"/>
        <v>-</v>
      </c>
      <c r="U26" s="39" t="str">
        <f>IF(T26&lt;&gt;"-",T26*60/'計画数(10分毎)'!$I$5*80%,"-")</f>
        <v>-</v>
      </c>
      <c r="V26" s="38">
        <f>IF('計画数(10分毎)'!$M$6=A26,'計画数(10分毎)'!$P$6,0)</f>
        <v>0</v>
      </c>
      <c r="W26" s="38" t="str">
        <f t="shared" si="20"/>
        <v>-</v>
      </c>
      <c r="X26" s="38" t="str">
        <f t="shared" si="21"/>
        <v>-</v>
      </c>
      <c r="Y26" s="39" t="str">
        <f>IF(X26&lt;&gt;"-",X26*60/'計画数(10分毎)'!$I$6*80%,"-")</f>
        <v>-</v>
      </c>
      <c r="Z26" s="39" t="str">
        <f t="shared" si="22"/>
        <v>-</v>
      </c>
      <c r="AA26" s="39">
        <f t="shared" si="23"/>
        <v>0</v>
      </c>
      <c r="AB26" s="40"/>
      <c r="AC26" s="38"/>
      <c r="AD26" s="38"/>
      <c r="AE26" s="38"/>
      <c r="AF26" s="41"/>
    </row>
    <row r="27" spans="1:50" x14ac:dyDescent="0.25">
      <c r="A27" s="35">
        <v>20</v>
      </c>
      <c r="B27" s="74"/>
      <c r="C27" s="42">
        <v>0.4236111111111111</v>
      </c>
      <c r="D27" s="80"/>
      <c r="E27" s="44"/>
      <c r="F27" s="44">
        <f>IF('計画数(10分毎)'!$M$2=A27,'計画数(10分毎)'!$P$2,0)</f>
        <v>0</v>
      </c>
      <c r="G27" s="44" t="str">
        <f t="shared" si="12"/>
        <v>-</v>
      </c>
      <c r="H27" s="44" t="str">
        <f t="shared" si="13"/>
        <v>-</v>
      </c>
      <c r="I27" s="45" t="str">
        <f>IF(H27&lt;&gt;"-",H27*60/'計画数(10分毎)'!$I$2*80%,"-")</f>
        <v>-</v>
      </c>
      <c r="J27" s="44">
        <f>IF('計画数(10分毎)'!$M$3=A27,'計画数(10分毎)'!$P$3,0)</f>
        <v>0</v>
      </c>
      <c r="K27" s="44" t="str">
        <f t="shared" si="14"/>
        <v>-</v>
      </c>
      <c r="L27" s="44" t="str">
        <f t="shared" si="15"/>
        <v>-</v>
      </c>
      <c r="M27" s="45" t="str">
        <f>IF(L27&lt;&gt;"-",L27*60/'計画数(10分毎)'!$I$3*80%,"-")</f>
        <v>-</v>
      </c>
      <c r="N27" s="44">
        <f>IF('計画数(10分毎)'!$M$4=A27,'計画数(10分毎)'!$P$4,0)</f>
        <v>0</v>
      </c>
      <c r="O27" s="44" t="str">
        <f t="shared" si="16"/>
        <v>-</v>
      </c>
      <c r="P27" s="44" t="str">
        <f t="shared" si="17"/>
        <v>-</v>
      </c>
      <c r="Q27" s="45" t="str">
        <f>IF(P27&lt;&gt;"-",P27*60/'計画数(10分毎)'!$I$4*80%,"-")</f>
        <v>-</v>
      </c>
      <c r="R27" s="44">
        <f>IF('計画数(10分毎)'!$M$5=A27,'計画数(10分毎)'!$P$5,0)</f>
        <v>0</v>
      </c>
      <c r="S27" s="44" t="str">
        <f t="shared" si="18"/>
        <v>-</v>
      </c>
      <c r="T27" s="44" t="str">
        <f t="shared" si="19"/>
        <v>-</v>
      </c>
      <c r="U27" s="45" t="str">
        <f>IF(T27&lt;&gt;"-",T27*60/'計画数(10分毎)'!$I$5*80%,"-")</f>
        <v>-</v>
      </c>
      <c r="V27" s="44">
        <f>IF('計画数(10分毎)'!$M$6=A27,'計画数(10分毎)'!$P$6,0)</f>
        <v>0</v>
      </c>
      <c r="W27" s="44" t="str">
        <f t="shared" si="20"/>
        <v>-</v>
      </c>
      <c r="X27" s="44" t="str">
        <f t="shared" si="21"/>
        <v>-</v>
      </c>
      <c r="Y27" s="45" t="str">
        <f>IF(X27&lt;&gt;"-",X27*60/'計画数(10分毎)'!$I$6*80%,"-")</f>
        <v>-</v>
      </c>
      <c r="Z27" s="45" t="str">
        <f t="shared" si="22"/>
        <v>-</v>
      </c>
      <c r="AA27" s="45">
        <f t="shared" si="23"/>
        <v>0</v>
      </c>
      <c r="AB27" s="46"/>
      <c r="AC27" s="44"/>
      <c r="AD27" s="44"/>
      <c r="AE27" s="44"/>
      <c r="AF27" s="47"/>
    </row>
    <row r="28" spans="1:50" x14ac:dyDescent="0.25">
      <c r="A28" s="35">
        <v>21</v>
      </c>
      <c r="B28" s="74"/>
      <c r="C28" s="48">
        <v>0.43055555555555558</v>
      </c>
      <c r="D28" s="81"/>
      <c r="E28" s="49"/>
      <c r="F28" s="50">
        <f>IF('計画数(10分毎)'!$M$2=A28,'計画数(10分毎)'!$P$2,0)</f>
        <v>0</v>
      </c>
      <c r="G28" s="50" t="str">
        <f t="shared" si="12"/>
        <v>-</v>
      </c>
      <c r="H28" s="50" t="str">
        <f t="shared" si="13"/>
        <v>-</v>
      </c>
      <c r="I28" s="51" t="str">
        <f>IF(H28&lt;&gt;"-",H28*60/'計画数(10分毎)'!$I$2*80%,"-")</f>
        <v>-</v>
      </c>
      <c r="J28" s="50">
        <f>IF('計画数(10分毎)'!$M$3=A28,'計画数(10分毎)'!$P$3,0)</f>
        <v>0</v>
      </c>
      <c r="K28" s="50" t="str">
        <f t="shared" si="14"/>
        <v>-</v>
      </c>
      <c r="L28" s="50" t="str">
        <f t="shared" si="15"/>
        <v>-</v>
      </c>
      <c r="M28" s="51" t="str">
        <f>IF(L28&lt;&gt;"-",L28*60/'計画数(10分毎)'!$I$3*80%,"-")</f>
        <v>-</v>
      </c>
      <c r="N28" s="50">
        <f>IF('計画数(10分毎)'!$M$4=A28,'計画数(10分毎)'!$P$4,0)</f>
        <v>0</v>
      </c>
      <c r="O28" s="50" t="str">
        <f t="shared" si="16"/>
        <v>-</v>
      </c>
      <c r="P28" s="50" t="str">
        <f t="shared" si="17"/>
        <v>-</v>
      </c>
      <c r="Q28" s="51" t="str">
        <f>IF(P28&lt;&gt;"-",P28*60/'計画数(10分毎)'!$I$4*80%,"-")</f>
        <v>-</v>
      </c>
      <c r="R28" s="50">
        <f>IF('計画数(10分毎)'!$M$5=A28,'計画数(10分毎)'!$P$5,0)</f>
        <v>0</v>
      </c>
      <c r="S28" s="50" t="str">
        <f t="shared" si="18"/>
        <v>-</v>
      </c>
      <c r="T28" s="50" t="str">
        <f t="shared" si="19"/>
        <v>-</v>
      </c>
      <c r="U28" s="51" t="str">
        <f>IF(T28&lt;&gt;"-",T28*60/'計画数(10分毎)'!$I$5*80%,"-")</f>
        <v>-</v>
      </c>
      <c r="V28" s="50">
        <f>IF('計画数(10分毎)'!$M$6=A28,'計画数(10分毎)'!$P$6,0)</f>
        <v>0</v>
      </c>
      <c r="W28" s="50" t="str">
        <f t="shared" si="20"/>
        <v>-</v>
      </c>
      <c r="X28" s="50" t="str">
        <f t="shared" si="21"/>
        <v>-</v>
      </c>
      <c r="Y28" s="51" t="str">
        <f>IF(X28&lt;&gt;"-",X28*60/'計画数(10分毎)'!$I$6*80%,"-")</f>
        <v>-</v>
      </c>
      <c r="Z28" s="51" t="str">
        <f t="shared" si="22"/>
        <v>-</v>
      </c>
      <c r="AA28" s="51">
        <f t="shared" si="23"/>
        <v>0</v>
      </c>
      <c r="AB28" s="52"/>
      <c r="AC28" s="49"/>
      <c r="AD28" s="49"/>
      <c r="AE28" s="49"/>
      <c r="AF28" s="53"/>
    </row>
    <row r="29" spans="1:50" x14ac:dyDescent="0.25">
      <c r="A29" s="35">
        <v>22</v>
      </c>
      <c r="B29" s="74"/>
      <c r="C29" s="42">
        <v>0.4375</v>
      </c>
      <c r="D29" s="79"/>
      <c r="E29" s="38"/>
      <c r="F29" s="38">
        <f>IF('計画数(10分毎)'!$M$2=A29,'計画数(10分毎)'!$P$2,0)</f>
        <v>0</v>
      </c>
      <c r="G29" s="38" t="str">
        <f t="shared" si="12"/>
        <v>-</v>
      </c>
      <c r="H29" s="38" t="str">
        <f t="shared" si="13"/>
        <v>-</v>
      </c>
      <c r="I29" s="39" t="str">
        <f>IF(H29&lt;&gt;"-",H29*60/'計画数(10分毎)'!$I$2*80%,"-")</f>
        <v>-</v>
      </c>
      <c r="J29" s="38">
        <f>IF('計画数(10分毎)'!$M$3=A29,'計画数(10分毎)'!$P$3,0)</f>
        <v>0</v>
      </c>
      <c r="K29" s="38" t="str">
        <f t="shared" si="14"/>
        <v>-</v>
      </c>
      <c r="L29" s="38" t="str">
        <f t="shared" si="15"/>
        <v>-</v>
      </c>
      <c r="M29" s="39" t="str">
        <f>IF(L29&lt;&gt;"-",L29*60/'計画数(10分毎)'!$I$3*80%,"-")</f>
        <v>-</v>
      </c>
      <c r="N29" s="38">
        <f>IF('計画数(10分毎)'!$M$4=A29,'計画数(10分毎)'!$P$4,0)</f>
        <v>0</v>
      </c>
      <c r="O29" s="38" t="str">
        <f t="shared" si="16"/>
        <v>-</v>
      </c>
      <c r="P29" s="38" t="str">
        <f t="shared" si="17"/>
        <v>-</v>
      </c>
      <c r="Q29" s="39" t="str">
        <f>IF(P29&lt;&gt;"-",P29*60/'計画数(10分毎)'!$I$4*80%,"-")</f>
        <v>-</v>
      </c>
      <c r="R29" s="38">
        <f>IF('計画数(10分毎)'!$M$5=A29,'計画数(10分毎)'!$P$5,0)</f>
        <v>0</v>
      </c>
      <c r="S29" s="38" t="str">
        <f t="shared" si="18"/>
        <v>-</v>
      </c>
      <c r="T29" s="38" t="str">
        <f t="shared" si="19"/>
        <v>-</v>
      </c>
      <c r="U29" s="39" t="str">
        <f>IF(T29&lt;&gt;"-",T29*60/'計画数(10分毎)'!$I$5*80%,"-")</f>
        <v>-</v>
      </c>
      <c r="V29" s="38">
        <f>IF('計画数(10分毎)'!$M$6=A29,'計画数(10分毎)'!$P$6,0)</f>
        <v>0</v>
      </c>
      <c r="W29" s="38" t="str">
        <f t="shared" si="20"/>
        <v>-</v>
      </c>
      <c r="X29" s="38" t="str">
        <f t="shared" si="21"/>
        <v>-</v>
      </c>
      <c r="Y29" s="39" t="str">
        <f>IF(X29&lt;&gt;"-",X29*60/'計画数(10分毎)'!$I$6*80%,"-")</f>
        <v>-</v>
      </c>
      <c r="Z29" s="39" t="str">
        <f t="shared" si="22"/>
        <v>-</v>
      </c>
      <c r="AA29" s="39">
        <f t="shared" si="23"/>
        <v>0</v>
      </c>
      <c r="AB29" s="40"/>
      <c r="AC29" s="38"/>
      <c r="AD29" s="38"/>
      <c r="AE29" s="38"/>
      <c r="AF29" s="41"/>
    </row>
    <row r="30" spans="1:50" x14ac:dyDescent="0.25">
      <c r="A30" s="35">
        <v>23</v>
      </c>
      <c r="B30" s="74"/>
      <c r="C30" s="42">
        <v>0.44444444444444442</v>
      </c>
      <c r="D30" s="80"/>
      <c r="E30" s="44"/>
      <c r="F30" s="44">
        <f>IF('計画数(10分毎)'!$M$2=A30,'計画数(10分毎)'!$P$2,0)</f>
        <v>0</v>
      </c>
      <c r="G30" s="44" t="str">
        <f t="shared" si="12"/>
        <v>-</v>
      </c>
      <c r="H30" s="44" t="str">
        <f t="shared" si="13"/>
        <v>-</v>
      </c>
      <c r="I30" s="45" t="str">
        <f>IF(H30&lt;&gt;"-",H30*60/'計画数(10分毎)'!$I$2*80%,"-")</f>
        <v>-</v>
      </c>
      <c r="J30" s="44">
        <f>IF('計画数(10分毎)'!$M$3=A30,'計画数(10分毎)'!$P$3,0)</f>
        <v>0</v>
      </c>
      <c r="K30" s="44" t="str">
        <f t="shared" si="14"/>
        <v>-</v>
      </c>
      <c r="L30" s="44" t="str">
        <f t="shared" si="15"/>
        <v>-</v>
      </c>
      <c r="M30" s="45" t="str">
        <f>IF(L30&lt;&gt;"-",L30*60/'計画数(10分毎)'!$I$3*80%,"-")</f>
        <v>-</v>
      </c>
      <c r="N30" s="44">
        <f>IF('計画数(10分毎)'!$M$4=A30,'計画数(10分毎)'!$P$4,0)</f>
        <v>0</v>
      </c>
      <c r="O30" s="44" t="str">
        <f t="shared" si="16"/>
        <v>-</v>
      </c>
      <c r="P30" s="44" t="str">
        <f t="shared" si="17"/>
        <v>-</v>
      </c>
      <c r="Q30" s="45" t="str">
        <f>IF(P30&lt;&gt;"-",P30*60/'計画数(10分毎)'!$I$4*80%,"-")</f>
        <v>-</v>
      </c>
      <c r="R30" s="44">
        <f>IF('計画数(10分毎)'!$M$5=A30,'計画数(10分毎)'!$P$5,0)</f>
        <v>0</v>
      </c>
      <c r="S30" s="44" t="str">
        <f t="shared" si="18"/>
        <v>-</v>
      </c>
      <c r="T30" s="44" t="str">
        <f t="shared" si="19"/>
        <v>-</v>
      </c>
      <c r="U30" s="45" t="str">
        <f>IF(T30&lt;&gt;"-",T30*60/'計画数(10分毎)'!$I$5*80%,"-")</f>
        <v>-</v>
      </c>
      <c r="V30" s="44">
        <f>IF('計画数(10分毎)'!$M$6=A30,'計画数(10分毎)'!$P$6,0)</f>
        <v>0</v>
      </c>
      <c r="W30" s="44" t="str">
        <f t="shared" si="20"/>
        <v>-</v>
      </c>
      <c r="X30" s="44" t="str">
        <f t="shared" si="21"/>
        <v>-</v>
      </c>
      <c r="Y30" s="45" t="str">
        <f>IF(X30&lt;&gt;"-",X30*60/'計画数(10分毎)'!$I$6*80%,"-")</f>
        <v>-</v>
      </c>
      <c r="Z30" s="45" t="str">
        <f t="shared" si="22"/>
        <v>-</v>
      </c>
      <c r="AA30" s="45">
        <f t="shared" si="23"/>
        <v>0</v>
      </c>
      <c r="AB30" s="46"/>
      <c r="AC30" s="44"/>
      <c r="AD30" s="44"/>
      <c r="AE30" s="44"/>
      <c r="AF30" s="47"/>
    </row>
    <row r="31" spans="1:50" x14ac:dyDescent="0.25">
      <c r="A31" s="35">
        <v>24</v>
      </c>
      <c r="B31" s="75"/>
      <c r="C31" s="42">
        <v>0.4513888888888889</v>
      </c>
      <c r="D31" s="82"/>
      <c r="E31" s="49"/>
      <c r="F31" s="50">
        <f>IF('計画数(10分毎)'!$M$2=A31,'計画数(10分毎)'!$P$2,0)</f>
        <v>0</v>
      </c>
      <c r="G31" s="50" t="str">
        <f t="shared" si="12"/>
        <v>-</v>
      </c>
      <c r="H31" s="50" t="str">
        <f t="shared" si="13"/>
        <v>-</v>
      </c>
      <c r="I31" s="51" t="str">
        <f>IF(H31&lt;&gt;"-",H31*60/'計画数(10分毎)'!$I$2*80%,"-")</f>
        <v>-</v>
      </c>
      <c r="J31" s="50">
        <f>IF('計画数(10分毎)'!$M$3=A31,'計画数(10分毎)'!$P$3,0)</f>
        <v>0</v>
      </c>
      <c r="K31" s="50" t="str">
        <f t="shared" si="14"/>
        <v>-</v>
      </c>
      <c r="L31" s="50" t="str">
        <f t="shared" si="15"/>
        <v>-</v>
      </c>
      <c r="M31" s="51" t="str">
        <f>IF(L31&lt;&gt;"-",L31*60/'計画数(10分毎)'!$I$3*80%,"-")</f>
        <v>-</v>
      </c>
      <c r="N31" s="50">
        <f>IF('計画数(10分毎)'!$M$4=A31,'計画数(10分毎)'!$P$4,0)</f>
        <v>0</v>
      </c>
      <c r="O31" s="50" t="str">
        <f t="shared" si="16"/>
        <v>-</v>
      </c>
      <c r="P31" s="50" t="str">
        <f t="shared" si="17"/>
        <v>-</v>
      </c>
      <c r="Q31" s="51" t="str">
        <f>IF(P31&lt;&gt;"-",P31*60/'計画数(10分毎)'!$I$4*80%,"-")</f>
        <v>-</v>
      </c>
      <c r="R31" s="50">
        <f>IF('計画数(10分毎)'!$M$5=A31,'計画数(10分毎)'!$P$5,0)</f>
        <v>0</v>
      </c>
      <c r="S31" s="50" t="str">
        <f t="shared" si="18"/>
        <v>-</v>
      </c>
      <c r="T31" s="50" t="str">
        <f t="shared" si="19"/>
        <v>-</v>
      </c>
      <c r="U31" s="51" t="str">
        <f>IF(T31&lt;&gt;"-",T31*60/'計画数(10分毎)'!$I$5*80%,"-")</f>
        <v>-</v>
      </c>
      <c r="V31" s="50">
        <f>IF('計画数(10分毎)'!$M$6=A31,'計画数(10分毎)'!$P$6,0)</f>
        <v>0</v>
      </c>
      <c r="W31" s="50" t="str">
        <f t="shared" si="20"/>
        <v>-</v>
      </c>
      <c r="X31" s="50" t="str">
        <f t="shared" si="21"/>
        <v>-</v>
      </c>
      <c r="Y31" s="51" t="str">
        <f>IF(X31&lt;&gt;"-",X31*60/'計画数(10分毎)'!$I$6*80%,"-")</f>
        <v>-</v>
      </c>
      <c r="Z31" s="51" t="str">
        <f t="shared" si="22"/>
        <v>-</v>
      </c>
      <c r="AA31" s="51">
        <f t="shared" si="23"/>
        <v>0</v>
      </c>
      <c r="AB31" s="52"/>
      <c r="AC31" s="49"/>
      <c r="AD31" s="49"/>
      <c r="AE31" s="49"/>
      <c r="AF31" s="53"/>
    </row>
    <row r="32" spans="1:50" x14ac:dyDescent="0.25">
      <c r="A32" s="35">
        <v>25</v>
      </c>
      <c r="B32" s="73">
        <v>0.45833333333333398</v>
      </c>
      <c r="C32" s="36">
        <v>0.45833333333333331</v>
      </c>
      <c r="D32" s="83"/>
      <c r="E32" s="38"/>
      <c r="F32" s="38">
        <f>IF('計画数(10分毎)'!$M$2=A32,'計画数(10分毎)'!$P$2,0)</f>
        <v>0</v>
      </c>
      <c r="G32" s="38" t="str">
        <f t="shared" si="12"/>
        <v>-</v>
      </c>
      <c r="H32" s="38" t="str">
        <f t="shared" si="13"/>
        <v>-</v>
      </c>
      <c r="I32" s="39" t="str">
        <f>IF(H32&lt;&gt;"-",H32*60/'計画数(10分毎)'!$I$2*80%,"-")</f>
        <v>-</v>
      </c>
      <c r="J32" s="38">
        <f>IF('計画数(10分毎)'!$M$3=A32,'計画数(10分毎)'!$P$3,0)</f>
        <v>0</v>
      </c>
      <c r="K32" s="38" t="str">
        <f t="shared" si="14"/>
        <v>-</v>
      </c>
      <c r="L32" s="38" t="str">
        <f t="shared" si="15"/>
        <v>-</v>
      </c>
      <c r="M32" s="39" t="str">
        <f>IF(L32&lt;&gt;"-",L32*60/'計画数(10分毎)'!$I$3*80%,"-")</f>
        <v>-</v>
      </c>
      <c r="N32" s="38">
        <f>IF('計画数(10分毎)'!$M$4=A32,'計画数(10分毎)'!$P$4,0)</f>
        <v>0</v>
      </c>
      <c r="O32" s="38" t="str">
        <f t="shared" si="16"/>
        <v>-</v>
      </c>
      <c r="P32" s="38" t="str">
        <f t="shared" si="17"/>
        <v>-</v>
      </c>
      <c r="Q32" s="39" t="str">
        <f>IF(P32&lt;&gt;"-",P32*60/'計画数(10分毎)'!$I$4*80%,"-")</f>
        <v>-</v>
      </c>
      <c r="R32" s="38">
        <f>IF('計画数(10分毎)'!$M$5=A32,'計画数(10分毎)'!$P$5,0)</f>
        <v>0</v>
      </c>
      <c r="S32" s="38" t="str">
        <f t="shared" si="18"/>
        <v>-</v>
      </c>
      <c r="T32" s="38" t="str">
        <f t="shared" si="19"/>
        <v>-</v>
      </c>
      <c r="U32" s="39" t="str">
        <f>IF(T32&lt;&gt;"-",T32*60/'計画数(10分毎)'!$I$5*80%,"-")</f>
        <v>-</v>
      </c>
      <c r="V32" s="38">
        <f>IF('計画数(10分毎)'!$M$6=A32,'計画数(10分毎)'!$P$6,0)</f>
        <v>0</v>
      </c>
      <c r="W32" s="38" t="str">
        <f t="shared" si="20"/>
        <v>-</v>
      </c>
      <c r="X32" s="38" t="str">
        <f t="shared" si="21"/>
        <v>-</v>
      </c>
      <c r="Y32" s="39" t="str">
        <f>IF(X32&lt;&gt;"-",X32*60/'計画数(10分毎)'!$I$6*80%,"-")</f>
        <v>-</v>
      </c>
      <c r="Z32" s="39" t="str">
        <f t="shared" si="22"/>
        <v>-</v>
      </c>
      <c r="AA32" s="39">
        <f t="shared" si="23"/>
        <v>0</v>
      </c>
      <c r="AB32" s="40"/>
      <c r="AC32" s="38"/>
      <c r="AD32" s="38"/>
      <c r="AE32" s="38"/>
      <c r="AF32" s="41"/>
    </row>
    <row r="33" spans="1:32" x14ac:dyDescent="0.25">
      <c r="A33" s="35">
        <v>26</v>
      </c>
      <c r="B33" s="74"/>
      <c r="C33" s="42">
        <v>0.46527777777777773</v>
      </c>
      <c r="D33" s="80"/>
      <c r="E33" s="44"/>
      <c r="F33" s="44">
        <f>IF('計画数(10分毎)'!$M$2=A33,'計画数(10分毎)'!$P$2,0)</f>
        <v>0</v>
      </c>
      <c r="G33" s="44" t="str">
        <f t="shared" si="12"/>
        <v>-</v>
      </c>
      <c r="H33" s="44" t="str">
        <f t="shared" si="13"/>
        <v>-</v>
      </c>
      <c r="I33" s="45" t="str">
        <f>IF(H33&lt;&gt;"-",H33*60/'計画数(10分毎)'!$I$2*80%,"-")</f>
        <v>-</v>
      </c>
      <c r="J33" s="44">
        <f>IF('計画数(10分毎)'!$M$3=A33,'計画数(10分毎)'!$P$3,0)</f>
        <v>0</v>
      </c>
      <c r="K33" s="44" t="str">
        <f t="shared" si="14"/>
        <v>-</v>
      </c>
      <c r="L33" s="44" t="str">
        <f t="shared" si="15"/>
        <v>-</v>
      </c>
      <c r="M33" s="45" t="str">
        <f>IF(L33&lt;&gt;"-",L33*60/'計画数(10分毎)'!$I$3*80%,"-")</f>
        <v>-</v>
      </c>
      <c r="N33" s="44">
        <f>IF('計画数(10分毎)'!$M$4=A33,'計画数(10分毎)'!$P$4,0)</f>
        <v>0</v>
      </c>
      <c r="O33" s="44" t="str">
        <f t="shared" si="16"/>
        <v>-</v>
      </c>
      <c r="P33" s="44" t="str">
        <f t="shared" si="17"/>
        <v>-</v>
      </c>
      <c r="Q33" s="45" t="str">
        <f>IF(P33&lt;&gt;"-",P33*60/'計画数(10分毎)'!$I$4*80%,"-")</f>
        <v>-</v>
      </c>
      <c r="R33" s="44">
        <f>IF('計画数(10分毎)'!$M$5=A33,'計画数(10分毎)'!$P$5,0)</f>
        <v>0</v>
      </c>
      <c r="S33" s="44" t="str">
        <f t="shared" si="18"/>
        <v>-</v>
      </c>
      <c r="T33" s="44" t="str">
        <f t="shared" si="19"/>
        <v>-</v>
      </c>
      <c r="U33" s="45" t="str">
        <f>IF(T33&lt;&gt;"-",T33*60/'計画数(10分毎)'!$I$5*80%,"-")</f>
        <v>-</v>
      </c>
      <c r="V33" s="44">
        <f>IF('計画数(10分毎)'!$M$6=A33,'計画数(10分毎)'!$P$6,0)</f>
        <v>0</v>
      </c>
      <c r="W33" s="44" t="str">
        <f t="shared" si="20"/>
        <v>-</v>
      </c>
      <c r="X33" s="44" t="str">
        <f t="shared" si="21"/>
        <v>-</v>
      </c>
      <c r="Y33" s="45" t="str">
        <f>IF(X33&lt;&gt;"-",X33*60/'計画数(10分毎)'!$I$6*80%,"-")</f>
        <v>-</v>
      </c>
      <c r="Z33" s="45" t="str">
        <f t="shared" si="22"/>
        <v>-</v>
      </c>
      <c r="AA33" s="45">
        <f t="shared" si="23"/>
        <v>0</v>
      </c>
      <c r="AB33" s="46"/>
      <c r="AC33" s="44"/>
      <c r="AD33" s="44"/>
      <c r="AE33" s="44"/>
      <c r="AF33" s="47"/>
    </row>
    <row r="34" spans="1:32" x14ac:dyDescent="0.25">
      <c r="A34" s="35">
        <v>27</v>
      </c>
      <c r="B34" s="74"/>
      <c r="C34" s="48">
        <v>0.47222222222222227</v>
      </c>
      <c r="D34" s="81"/>
      <c r="E34" s="49"/>
      <c r="F34" s="50">
        <f>IF('計画数(10分毎)'!$M$2=A34,'計画数(10分毎)'!$P$2,0)</f>
        <v>0</v>
      </c>
      <c r="G34" s="50" t="str">
        <f t="shared" si="12"/>
        <v>-</v>
      </c>
      <c r="H34" s="50" t="str">
        <f t="shared" si="13"/>
        <v>-</v>
      </c>
      <c r="I34" s="51" t="str">
        <f>IF(H34&lt;&gt;"-",H34*60/'計画数(10分毎)'!$I$2*80%,"-")</f>
        <v>-</v>
      </c>
      <c r="J34" s="50">
        <f>IF('計画数(10分毎)'!$M$3=A34,'計画数(10分毎)'!$P$3,0)</f>
        <v>0</v>
      </c>
      <c r="K34" s="50" t="str">
        <f t="shared" si="14"/>
        <v>-</v>
      </c>
      <c r="L34" s="50" t="str">
        <f t="shared" si="15"/>
        <v>-</v>
      </c>
      <c r="M34" s="51" t="str">
        <f>IF(L34&lt;&gt;"-",L34*60/'計画数(10分毎)'!$I$3*80%,"-")</f>
        <v>-</v>
      </c>
      <c r="N34" s="50">
        <f>IF('計画数(10分毎)'!$M$4=A34,'計画数(10分毎)'!$P$4,0)</f>
        <v>0</v>
      </c>
      <c r="O34" s="50" t="str">
        <f t="shared" si="16"/>
        <v>-</v>
      </c>
      <c r="P34" s="50" t="str">
        <f t="shared" si="17"/>
        <v>-</v>
      </c>
      <c r="Q34" s="51" t="str">
        <f>IF(P34&lt;&gt;"-",P34*60/'計画数(10分毎)'!$I$4*80%,"-")</f>
        <v>-</v>
      </c>
      <c r="R34" s="50">
        <f>IF('計画数(10分毎)'!$M$5=A34,'計画数(10分毎)'!$P$5,0)</f>
        <v>0</v>
      </c>
      <c r="S34" s="50" t="str">
        <f t="shared" si="18"/>
        <v>-</v>
      </c>
      <c r="T34" s="50" t="str">
        <f t="shared" si="19"/>
        <v>-</v>
      </c>
      <c r="U34" s="51" t="str">
        <f>IF(T34&lt;&gt;"-",T34*60/'計画数(10分毎)'!$I$5*80%,"-")</f>
        <v>-</v>
      </c>
      <c r="V34" s="50">
        <f>IF('計画数(10分毎)'!$M$6=A34,'計画数(10分毎)'!$P$6,0)</f>
        <v>0</v>
      </c>
      <c r="W34" s="50" t="str">
        <f t="shared" si="20"/>
        <v>-</v>
      </c>
      <c r="X34" s="50" t="str">
        <f t="shared" si="21"/>
        <v>-</v>
      </c>
      <c r="Y34" s="51" t="str">
        <f>IF(X34&lt;&gt;"-",X34*60/'計画数(10分毎)'!$I$6*80%,"-")</f>
        <v>-</v>
      </c>
      <c r="Z34" s="51" t="str">
        <f t="shared" si="22"/>
        <v>-</v>
      </c>
      <c r="AA34" s="51">
        <f t="shared" si="23"/>
        <v>0</v>
      </c>
      <c r="AB34" s="52"/>
      <c r="AC34" s="49"/>
      <c r="AD34" s="49"/>
      <c r="AE34" s="49"/>
      <c r="AF34" s="53"/>
    </row>
    <row r="35" spans="1:32" x14ac:dyDescent="0.25">
      <c r="A35" s="35">
        <v>28</v>
      </c>
      <c r="B35" s="74"/>
      <c r="C35" s="42">
        <v>0.47916666666666669</v>
      </c>
      <c r="D35" s="79"/>
      <c r="E35" s="38"/>
      <c r="F35" s="38">
        <f>IF('計画数(10分毎)'!$M$2=A35,'計画数(10分毎)'!$P$2,0)</f>
        <v>0</v>
      </c>
      <c r="G35" s="38" t="str">
        <f t="shared" si="12"/>
        <v>-</v>
      </c>
      <c r="H35" s="38" t="str">
        <f t="shared" si="13"/>
        <v>-</v>
      </c>
      <c r="I35" s="39" t="str">
        <f>IF(H35&lt;&gt;"-",H35*60/'計画数(10分毎)'!$I$2*80%,"-")</f>
        <v>-</v>
      </c>
      <c r="J35" s="38">
        <f>IF('計画数(10分毎)'!$M$3=A35,'計画数(10分毎)'!$P$3,0)</f>
        <v>0</v>
      </c>
      <c r="K35" s="38" t="str">
        <f t="shared" si="14"/>
        <v>-</v>
      </c>
      <c r="L35" s="38" t="str">
        <f t="shared" si="15"/>
        <v>-</v>
      </c>
      <c r="M35" s="39" t="str">
        <f>IF(L35&lt;&gt;"-",L35*60/'計画数(10分毎)'!$I$3*80%,"-")</f>
        <v>-</v>
      </c>
      <c r="N35" s="38">
        <f>IF('計画数(10分毎)'!$M$4=A35,'計画数(10分毎)'!$P$4,0)</f>
        <v>0</v>
      </c>
      <c r="O35" s="38" t="str">
        <f t="shared" si="16"/>
        <v>-</v>
      </c>
      <c r="P35" s="38" t="str">
        <f t="shared" si="17"/>
        <v>-</v>
      </c>
      <c r="Q35" s="39" t="str">
        <f>IF(P35&lt;&gt;"-",P35*60/'計画数(10分毎)'!$I$4*80%,"-")</f>
        <v>-</v>
      </c>
      <c r="R35" s="38">
        <f>IF('計画数(10分毎)'!$M$5=A35,'計画数(10分毎)'!$P$5,0)</f>
        <v>0</v>
      </c>
      <c r="S35" s="38" t="str">
        <f t="shared" si="18"/>
        <v>-</v>
      </c>
      <c r="T35" s="38" t="str">
        <f t="shared" si="19"/>
        <v>-</v>
      </c>
      <c r="U35" s="39" t="str">
        <f>IF(T35&lt;&gt;"-",T35*60/'計画数(10分毎)'!$I$5*80%,"-")</f>
        <v>-</v>
      </c>
      <c r="V35" s="38">
        <f>IF('計画数(10分毎)'!$M$6=A35,'計画数(10分毎)'!$P$6,0)</f>
        <v>0</v>
      </c>
      <c r="W35" s="38" t="str">
        <f t="shared" si="20"/>
        <v>-</v>
      </c>
      <c r="X35" s="38" t="str">
        <f t="shared" si="21"/>
        <v>-</v>
      </c>
      <c r="Y35" s="39" t="str">
        <f>IF(X35&lt;&gt;"-",X35*60/'計画数(10分毎)'!$I$6*80%,"-")</f>
        <v>-</v>
      </c>
      <c r="Z35" s="39" t="str">
        <f t="shared" si="22"/>
        <v>-</v>
      </c>
      <c r="AA35" s="39">
        <f t="shared" si="23"/>
        <v>0</v>
      </c>
      <c r="AB35" s="40"/>
      <c r="AC35" s="38"/>
      <c r="AD35" s="38"/>
      <c r="AE35" s="38"/>
      <c r="AF35" s="41"/>
    </row>
    <row r="36" spans="1:32" x14ac:dyDescent="0.25">
      <c r="A36" s="35">
        <v>29</v>
      </c>
      <c r="B36" s="74"/>
      <c r="C36" s="57">
        <v>0.4861111111111111</v>
      </c>
      <c r="D36" s="84" t="s">
        <v>11</v>
      </c>
      <c r="E36" s="44"/>
      <c r="F36" s="44">
        <f>IF('計画数(10分毎)'!$M$2=A36,'計画数(10分毎)'!$P$2,0)</f>
        <v>0</v>
      </c>
      <c r="G36" s="44" t="str">
        <f t="shared" si="12"/>
        <v>-</v>
      </c>
      <c r="H36" s="44" t="str">
        <f t="shared" si="13"/>
        <v>-</v>
      </c>
      <c r="I36" s="45" t="str">
        <f>IF(H36&lt;&gt;"-",H36*60/'計画数(10分毎)'!$I$2*80%,"-")</f>
        <v>-</v>
      </c>
      <c r="J36" s="44">
        <f>IF('計画数(10分毎)'!$M$3=A36,'計画数(10分毎)'!$P$3,0)</f>
        <v>0</v>
      </c>
      <c r="K36" s="44" t="str">
        <f t="shared" si="14"/>
        <v>-</v>
      </c>
      <c r="L36" s="44" t="str">
        <f t="shared" si="15"/>
        <v>-</v>
      </c>
      <c r="M36" s="45" t="str">
        <f>IF(L36&lt;&gt;"-",L36*60/'計画数(10分毎)'!$I$3*80%,"-")</f>
        <v>-</v>
      </c>
      <c r="N36" s="44">
        <f>IF('計画数(10分毎)'!$M$4=A36,'計画数(10分毎)'!$P$4,0)</f>
        <v>0</v>
      </c>
      <c r="O36" s="44" t="str">
        <f t="shared" si="16"/>
        <v>-</v>
      </c>
      <c r="P36" s="44" t="str">
        <f t="shared" si="17"/>
        <v>-</v>
      </c>
      <c r="Q36" s="45" t="str">
        <f>IF(P36&lt;&gt;"-",P36*60/'計画数(10分毎)'!$I$4*80%,"-")</f>
        <v>-</v>
      </c>
      <c r="R36" s="44">
        <f>IF('計画数(10分毎)'!$M$5=A36,'計画数(10分毎)'!$P$5,0)</f>
        <v>0</v>
      </c>
      <c r="S36" s="44" t="str">
        <f t="shared" si="18"/>
        <v>-</v>
      </c>
      <c r="T36" s="44" t="str">
        <f t="shared" si="19"/>
        <v>-</v>
      </c>
      <c r="U36" s="45" t="str">
        <f>IF(T36&lt;&gt;"-",T36*60/'計画数(10分毎)'!$I$5*80%,"-")</f>
        <v>-</v>
      </c>
      <c r="V36" s="44">
        <f>IF('計画数(10分毎)'!$M$6=A36,'計画数(10分毎)'!$P$6,0)</f>
        <v>0</v>
      </c>
      <c r="W36" s="44" t="str">
        <f t="shared" si="20"/>
        <v>-</v>
      </c>
      <c r="X36" s="44" t="str">
        <f t="shared" si="21"/>
        <v>-</v>
      </c>
      <c r="Y36" s="45" t="str">
        <f>IF(X36&lt;&gt;"-",X36*60/'計画数(10分毎)'!$I$6*80%,"-")</f>
        <v>-</v>
      </c>
      <c r="Z36" s="45" t="str">
        <f t="shared" si="22"/>
        <v>-</v>
      </c>
      <c r="AA36" s="45">
        <f t="shared" si="23"/>
        <v>0</v>
      </c>
      <c r="AB36" s="46"/>
      <c r="AC36" s="44"/>
      <c r="AD36" s="44"/>
      <c r="AE36" s="44"/>
      <c r="AF36" s="47"/>
    </row>
    <row r="37" spans="1:32" x14ac:dyDescent="0.25">
      <c r="A37" s="35">
        <v>30</v>
      </c>
      <c r="B37" s="75"/>
      <c r="C37" s="57">
        <v>0.49305555555555558</v>
      </c>
      <c r="D37" s="85" t="s">
        <v>11</v>
      </c>
      <c r="E37" s="49"/>
      <c r="F37" s="50">
        <f>IF('計画数(10分毎)'!$M$2=A37,'計画数(10分毎)'!$P$2,0)</f>
        <v>0</v>
      </c>
      <c r="G37" s="50" t="str">
        <f t="shared" si="12"/>
        <v>-</v>
      </c>
      <c r="H37" s="50" t="str">
        <f t="shared" si="13"/>
        <v>-</v>
      </c>
      <c r="I37" s="51" t="str">
        <f>IF(H37&lt;&gt;"-",H37*60/'計画数(10分毎)'!$I$2*80%,"-")</f>
        <v>-</v>
      </c>
      <c r="J37" s="50">
        <f>IF('計画数(10分毎)'!$M$3=A37,'計画数(10分毎)'!$P$3,0)</f>
        <v>0</v>
      </c>
      <c r="K37" s="50" t="str">
        <f t="shared" si="14"/>
        <v>-</v>
      </c>
      <c r="L37" s="50" t="str">
        <f t="shared" si="15"/>
        <v>-</v>
      </c>
      <c r="M37" s="51" t="str">
        <f>IF(L37&lt;&gt;"-",L37*60/'計画数(10分毎)'!$I$3*80%,"-")</f>
        <v>-</v>
      </c>
      <c r="N37" s="50">
        <f>IF('計画数(10分毎)'!$M$4=A37,'計画数(10分毎)'!$P$4,0)</f>
        <v>0</v>
      </c>
      <c r="O37" s="50" t="str">
        <f t="shared" si="16"/>
        <v>-</v>
      </c>
      <c r="P37" s="50" t="str">
        <f t="shared" si="17"/>
        <v>-</v>
      </c>
      <c r="Q37" s="51" t="str">
        <f>IF(P37&lt;&gt;"-",P37*60/'計画数(10分毎)'!$I$4*80%,"-")</f>
        <v>-</v>
      </c>
      <c r="R37" s="50">
        <f>IF('計画数(10分毎)'!$M$5=A37,'計画数(10分毎)'!$P$5,0)</f>
        <v>0</v>
      </c>
      <c r="S37" s="50" t="str">
        <f t="shared" si="18"/>
        <v>-</v>
      </c>
      <c r="T37" s="50" t="str">
        <f t="shared" si="19"/>
        <v>-</v>
      </c>
      <c r="U37" s="51" t="str">
        <f>IF(T37&lt;&gt;"-",T37*60/'計画数(10分毎)'!$I$5*80%,"-")</f>
        <v>-</v>
      </c>
      <c r="V37" s="50">
        <f>IF('計画数(10分毎)'!$M$6=A37,'計画数(10分毎)'!$P$6,0)</f>
        <v>0</v>
      </c>
      <c r="W37" s="50" t="str">
        <f t="shared" si="20"/>
        <v>-</v>
      </c>
      <c r="X37" s="50" t="str">
        <f t="shared" si="21"/>
        <v>-</v>
      </c>
      <c r="Y37" s="51" t="str">
        <f>IF(X37&lt;&gt;"-",X37*60/'計画数(10分毎)'!$I$6*80%,"-")</f>
        <v>-</v>
      </c>
      <c r="Z37" s="51" t="str">
        <f t="shared" si="22"/>
        <v>-</v>
      </c>
      <c r="AA37" s="51">
        <f t="shared" si="23"/>
        <v>0</v>
      </c>
      <c r="AB37" s="52"/>
      <c r="AC37" s="49"/>
      <c r="AD37" s="49"/>
      <c r="AE37" s="49"/>
      <c r="AF37" s="53"/>
    </row>
    <row r="38" spans="1:32" x14ac:dyDescent="0.25">
      <c r="A38" s="35">
        <v>31</v>
      </c>
      <c r="B38" s="73">
        <v>0.5</v>
      </c>
      <c r="C38" s="58">
        <v>0.5</v>
      </c>
      <c r="D38" s="86" t="s">
        <v>11</v>
      </c>
      <c r="E38" s="38"/>
      <c r="F38" s="38">
        <f>IF('計画数(10分毎)'!$M$2=A38,'計画数(10分毎)'!$P$2,0)</f>
        <v>0</v>
      </c>
      <c r="G38" s="38" t="str">
        <f t="shared" si="12"/>
        <v>-</v>
      </c>
      <c r="H38" s="38" t="str">
        <f t="shared" si="13"/>
        <v>-</v>
      </c>
      <c r="I38" s="39" t="str">
        <f>IF(H38&lt;&gt;"-",H38*60/'計画数(10分毎)'!$I$2*80%,"-")</f>
        <v>-</v>
      </c>
      <c r="J38" s="38">
        <f>IF('計画数(10分毎)'!$M$3=A38,'計画数(10分毎)'!$P$3,0)</f>
        <v>0</v>
      </c>
      <c r="K38" s="38" t="str">
        <f t="shared" si="14"/>
        <v>-</v>
      </c>
      <c r="L38" s="38" t="str">
        <f t="shared" si="15"/>
        <v>-</v>
      </c>
      <c r="M38" s="39" t="str">
        <f>IF(L38&lt;&gt;"-",L38*60/'計画数(10分毎)'!$I$3*80%,"-")</f>
        <v>-</v>
      </c>
      <c r="N38" s="38">
        <f>IF('計画数(10分毎)'!$M$4=A38,'計画数(10分毎)'!$P$4,0)</f>
        <v>0</v>
      </c>
      <c r="O38" s="38" t="str">
        <f t="shared" si="16"/>
        <v>-</v>
      </c>
      <c r="P38" s="38" t="str">
        <f t="shared" si="17"/>
        <v>-</v>
      </c>
      <c r="Q38" s="39" t="str">
        <f>IF(P38&lt;&gt;"-",P38*60/'計画数(10分毎)'!$I$4*80%,"-")</f>
        <v>-</v>
      </c>
      <c r="R38" s="38">
        <f>IF('計画数(10分毎)'!$M$5=A38,'計画数(10分毎)'!$P$5,0)</f>
        <v>0</v>
      </c>
      <c r="S38" s="38" t="str">
        <f t="shared" si="18"/>
        <v>-</v>
      </c>
      <c r="T38" s="38" t="str">
        <f t="shared" si="19"/>
        <v>-</v>
      </c>
      <c r="U38" s="39" t="str">
        <f>IF(T38&lt;&gt;"-",T38*60/'計画数(10分毎)'!$I$5*80%,"-")</f>
        <v>-</v>
      </c>
      <c r="V38" s="38">
        <f>IF('計画数(10分毎)'!$M$6=A38,'計画数(10分毎)'!$P$6,0)</f>
        <v>0</v>
      </c>
      <c r="W38" s="38" t="str">
        <f t="shared" si="20"/>
        <v>-</v>
      </c>
      <c r="X38" s="38" t="str">
        <f t="shared" si="21"/>
        <v>-</v>
      </c>
      <c r="Y38" s="39" t="str">
        <f>IF(X38&lt;&gt;"-",X38*60/'計画数(10分毎)'!$I$6*80%,"-")</f>
        <v>-</v>
      </c>
      <c r="Z38" s="39" t="str">
        <f t="shared" si="22"/>
        <v>-</v>
      </c>
      <c r="AA38" s="39">
        <f t="shared" si="23"/>
        <v>0</v>
      </c>
      <c r="AB38" s="40"/>
      <c r="AC38" s="38"/>
      <c r="AD38" s="38"/>
      <c r="AE38" s="38"/>
      <c r="AF38" s="41"/>
    </row>
    <row r="39" spans="1:32" x14ac:dyDescent="0.25">
      <c r="A39" s="35">
        <v>32</v>
      </c>
      <c r="B39" s="74"/>
      <c r="C39" s="57">
        <v>0.50694444444444442</v>
      </c>
      <c r="D39" s="84" t="s">
        <v>11</v>
      </c>
      <c r="E39" s="44"/>
      <c r="F39" s="44">
        <f>IF('計画数(10分毎)'!$M$2=A39,'計画数(10分毎)'!$P$2,0)</f>
        <v>0</v>
      </c>
      <c r="G39" s="44" t="str">
        <f t="shared" si="12"/>
        <v>-</v>
      </c>
      <c r="H39" s="44" t="str">
        <f t="shared" si="13"/>
        <v>-</v>
      </c>
      <c r="I39" s="45" t="str">
        <f>IF(H39&lt;&gt;"-",H39*60/'計画数(10分毎)'!$I$2*80%,"-")</f>
        <v>-</v>
      </c>
      <c r="J39" s="44">
        <f>IF('計画数(10分毎)'!$M$3=A39,'計画数(10分毎)'!$P$3,0)</f>
        <v>0</v>
      </c>
      <c r="K39" s="44" t="str">
        <f t="shared" si="14"/>
        <v>-</v>
      </c>
      <c r="L39" s="44" t="str">
        <f t="shared" si="15"/>
        <v>-</v>
      </c>
      <c r="M39" s="45" t="str">
        <f>IF(L39&lt;&gt;"-",L39*60/'計画数(10分毎)'!$I$3*80%,"-")</f>
        <v>-</v>
      </c>
      <c r="N39" s="44">
        <f>IF('計画数(10分毎)'!$M$4=A39,'計画数(10分毎)'!$P$4,0)</f>
        <v>0</v>
      </c>
      <c r="O39" s="44" t="str">
        <f t="shared" si="16"/>
        <v>-</v>
      </c>
      <c r="P39" s="44" t="str">
        <f t="shared" si="17"/>
        <v>-</v>
      </c>
      <c r="Q39" s="45" t="str">
        <f>IF(P39&lt;&gt;"-",P39*60/'計画数(10分毎)'!$I$4*80%,"-")</f>
        <v>-</v>
      </c>
      <c r="R39" s="44">
        <f>IF('計画数(10分毎)'!$M$5=A39,'計画数(10分毎)'!$P$5,0)</f>
        <v>0</v>
      </c>
      <c r="S39" s="44" t="str">
        <f t="shared" si="18"/>
        <v>-</v>
      </c>
      <c r="T39" s="44" t="str">
        <f t="shared" si="19"/>
        <v>-</v>
      </c>
      <c r="U39" s="45" t="str">
        <f>IF(T39&lt;&gt;"-",T39*60/'計画数(10分毎)'!$I$5*80%,"-")</f>
        <v>-</v>
      </c>
      <c r="V39" s="44">
        <f>IF('計画数(10分毎)'!$M$6=A39,'計画数(10分毎)'!$P$6,0)</f>
        <v>0</v>
      </c>
      <c r="W39" s="44" t="str">
        <f t="shared" si="20"/>
        <v>-</v>
      </c>
      <c r="X39" s="44" t="str">
        <f t="shared" si="21"/>
        <v>-</v>
      </c>
      <c r="Y39" s="45" t="str">
        <f>IF(X39&lt;&gt;"-",X39*60/'計画数(10分毎)'!$I$6*80%,"-")</f>
        <v>-</v>
      </c>
      <c r="Z39" s="45" t="str">
        <f t="shared" si="22"/>
        <v>-</v>
      </c>
      <c r="AA39" s="45">
        <f t="shared" si="23"/>
        <v>0</v>
      </c>
      <c r="AB39" s="46"/>
      <c r="AC39" s="44"/>
      <c r="AD39" s="44"/>
      <c r="AE39" s="44"/>
      <c r="AF39" s="47"/>
    </row>
    <row r="40" spans="1:32" x14ac:dyDescent="0.25">
      <c r="A40" s="35">
        <v>33</v>
      </c>
      <c r="B40" s="74"/>
      <c r="C40" s="48">
        <v>0.51388888888888895</v>
      </c>
      <c r="D40" s="81"/>
      <c r="E40" s="49"/>
      <c r="F40" s="50">
        <f>IF('計画数(10分毎)'!$M$2=A40,'計画数(10分毎)'!$P$2,0)</f>
        <v>0</v>
      </c>
      <c r="G40" s="50" t="str">
        <f t="shared" si="12"/>
        <v>-</v>
      </c>
      <c r="H40" s="50" t="str">
        <f t="shared" si="13"/>
        <v>-</v>
      </c>
      <c r="I40" s="51" t="str">
        <f>IF(H40&lt;&gt;"-",H40*60/'計画数(10分毎)'!$I$2*80%,"-")</f>
        <v>-</v>
      </c>
      <c r="J40" s="50">
        <f>IF('計画数(10分毎)'!$M$3=A40,'計画数(10分毎)'!$P$3,0)</f>
        <v>0</v>
      </c>
      <c r="K40" s="50" t="str">
        <f t="shared" si="14"/>
        <v>-</v>
      </c>
      <c r="L40" s="50" t="str">
        <f t="shared" si="15"/>
        <v>-</v>
      </c>
      <c r="M40" s="51" t="str">
        <f>IF(L40&lt;&gt;"-",L40*60/'計画数(10分毎)'!$I$3*80%,"-")</f>
        <v>-</v>
      </c>
      <c r="N40" s="50">
        <f>IF('計画数(10分毎)'!$M$4=A40,'計画数(10分毎)'!$P$4,0)</f>
        <v>0</v>
      </c>
      <c r="O40" s="50" t="str">
        <f t="shared" si="16"/>
        <v>-</v>
      </c>
      <c r="P40" s="50" t="str">
        <f t="shared" si="17"/>
        <v>-</v>
      </c>
      <c r="Q40" s="51" t="str">
        <f>IF(P40&lt;&gt;"-",P40*60/'計画数(10分毎)'!$I$4*80%,"-")</f>
        <v>-</v>
      </c>
      <c r="R40" s="50">
        <f>IF('計画数(10分毎)'!$M$5=A40,'計画数(10分毎)'!$P$5,0)</f>
        <v>0</v>
      </c>
      <c r="S40" s="50" t="str">
        <f t="shared" si="18"/>
        <v>-</v>
      </c>
      <c r="T40" s="50" t="str">
        <f t="shared" si="19"/>
        <v>-</v>
      </c>
      <c r="U40" s="51" t="str">
        <f>IF(T40&lt;&gt;"-",T40*60/'計画数(10分毎)'!$I$5*80%,"-")</f>
        <v>-</v>
      </c>
      <c r="V40" s="50">
        <f>IF('計画数(10分毎)'!$M$6=A40,'計画数(10分毎)'!$P$6,0)</f>
        <v>0</v>
      </c>
      <c r="W40" s="50" t="str">
        <f t="shared" si="20"/>
        <v>-</v>
      </c>
      <c r="X40" s="50" t="str">
        <f t="shared" si="21"/>
        <v>-</v>
      </c>
      <c r="Y40" s="51" t="str">
        <f>IF(X40&lt;&gt;"-",X40*60/'計画数(10分毎)'!$I$6*80%,"-")</f>
        <v>-</v>
      </c>
      <c r="Z40" s="51" t="str">
        <f t="shared" si="22"/>
        <v>-</v>
      </c>
      <c r="AA40" s="51">
        <f t="shared" si="23"/>
        <v>0</v>
      </c>
      <c r="AB40" s="52"/>
      <c r="AC40" s="49"/>
      <c r="AD40" s="49"/>
      <c r="AE40" s="49"/>
      <c r="AF40" s="53"/>
    </row>
    <row r="41" spans="1:32" x14ac:dyDescent="0.25">
      <c r="A41" s="35">
        <v>34</v>
      </c>
      <c r="B41" s="74"/>
      <c r="C41" s="42">
        <v>0.52083333333333337</v>
      </c>
      <c r="D41" s="79"/>
      <c r="E41" s="38"/>
      <c r="F41" s="38">
        <f>IF('計画数(10分毎)'!$M$2=A41,'計画数(10分毎)'!$P$2,0)</f>
        <v>0</v>
      </c>
      <c r="G41" s="38" t="str">
        <f t="shared" si="12"/>
        <v>-</v>
      </c>
      <c r="H41" s="38" t="str">
        <f t="shared" si="13"/>
        <v>-</v>
      </c>
      <c r="I41" s="39" t="str">
        <f>IF(H41&lt;&gt;"-",H41*60/'計画数(10分毎)'!$I$2*80%,"-")</f>
        <v>-</v>
      </c>
      <c r="J41" s="38">
        <f>IF('計画数(10分毎)'!$M$3=A41,'計画数(10分毎)'!$P$3,0)</f>
        <v>0</v>
      </c>
      <c r="K41" s="38" t="str">
        <f t="shared" si="14"/>
        <v>-</v>
      </c>
      <c r="L41" s="38" t="str">
        <f t="shared" si="15"/>
        <v>-</v>
      </c>
      <c r="M41" s="39" t="str">
        <f>IF(L41&lt;&gt;"-",L41*60/'計画数(10分毎)'!$I$3*80%,"-")</f>
        <v>-</v>
      </c>
      <c r="N41" s="38">
        <f>IF('計画数(10分毎)'!$M$4=A41,'計画数(10分毎)'!$P$4,0)</f>
        <v>0</v>
      </c>
      <c r="O41" s="38" t="str">
        <f t="shared" si="16"/>
        <v>-</v>
      </c>
      <c r="P41" s="38" t="str">
        <f t="shared" si="17"/>
        <v>-</v>
      </c>
      <c r="Q41" s="39" t="str">
        <f>IF(P41&lt;&gt;"-",P41*60/'計画数(10分毎)'!$I$4*80%,"-")</f>
        <v>-</v>
      </c>
      <c r="R41" s="38">
        <f>IF('計画数(10分毎)'!$M$5=A41,'計画数(10分毎)'!$P$5,0)</f>
        <v>0</v>
      </c>
      <c r="S41" s="38" t="str">
        <f t="shared" si="18"/>
        <v>-</v>
      </c>
      <c r="T41" s="38" t="str">
        <f t="shared" si="19"/>
        <v>-</v>
      </c>
      <c r="U41" s="39" t="str">
        <f>IF(T41&lt;&gt;"-",T41*60/'計画数(10分毎)'!$I$5*80%,"-")</f>
        <v>-</v>
      </c>
      <c r="V41" s="38">
        <f>IF('計画数(10分毎)'!$M$6=A41,'計画数(10分毎)'!$P$6,0)</f>
        <v>0</v>
      </c>
      <c r="W41" s="38" t="str">
        <f t="shared" si="20"/>
        <v>-</v>
      </c>
      <c r="X41" s="38" t="str">
        <f t="shared" si="21"/>
        <v>-</v>
      </c>
      <c r="Y41" s="39" t="str">
        <f>IF(X41&lt;&gt;"-",X41*60/'計画数(10分毎)'!$I$6*80%,"-")</f>
        <v>-</v>
      </c>
      <c r="Z41" s="39" t="str">
        <f t="shared" si="22"/>
        <v>-</v>
      </c>
      <c r="AA41" s="39">
        <f t="shared" si="23"/>
        <v>0</v>
      </c>
      <c r="AB41" s="40"/>
      <c r="AC41" s="38"/>
      <c r="AD41" s="38"/>
      <c r="AE41" s="38"/>
      <c r="AF41" s="41"/>
    </row>
    <row r="42" spans="1:32" x14ac:dyDescent="0.25">
      <c r="A42" s="35">
        <v>35</v>
      </c>
      <c r="B42" s="74"/>
      <c r="C42" s="42">
        <v>0.52777777777777779</v>
      </c>
      <c r="D42" s="80"/>
      <c r="E42" s="44"/>
      <c r="F42" s="44">
        <f>IF('計画数(10分毎)'!$M$2=A42,'計画数(10分毎)'!$P$2,0)</f>
        <v>0</v>
      </c>
      <c r="G42" s="44" t="str">
        <f t="shared" si="12"/>
        <v>-</v>
      </c>
      <c r="H42" s="44" t="str">
        <f t="shared" si="13"/>
        <v>-</v>
      </c>
      <c r="I42" s="45" t="str">
        <f>IF(H42&lt;&gt;"-",H42*60/'計画数(10分毎)'!$I$2*80%,"-")</f>
        <v>-</v>
      </c>
      <c r="J42" s="44">
        <f>IF('計画数(10分毎)'!$M$3=A42,'計画数(10分毎)'!$P$3,0)</f>
        <v>0</v>
      </c>
      <c r="K42" s="44" t="str">
        <f t="shared" si="14"/>
        <v>-</v>
      </c>
      <c r="L42" s="44" t="str">
        <f t="shared" si="15"/>
        <v>-</v>
      </c>
      <c r="M42" s="45" t="str">
        <f>IF(L42&lt;&gt;"-",L42*60/'計画数(10分毎)'!$I$3*80%,"-")</f>
        <v>-</v>
      </c>
      <c r="N42" s="44">
        <f>IF('計画数(10分毎)'!$M$4=A42,'計画数(10分毎)'!$P$4,0)</f>
        <v>0</v>
      </c>
      <c r="O42" s="44" t="str">
        <f t="shared" si="16"/>
        <v>-</v>
      </c>
      <c r="P42" s="44" t="str">
        <f t="shared" si="17"/>
        <v>-</v>
      </c>
      <c r="Q42" s="45" t="str">
        <f>IF(P42&lt;&gt;"-",P42*60/'計画数(10分毎)'!$I$4*80%,"-")</f>
        <v>-</v>
      </c>
      <c r="R42" s="44">
        <f>IF('計画数(10分毎)'!$M$5=A42,'計画数(10分毎)'!$P$5,0)</f>
        <v>0</v>
      </c>
      <c r="S42" s="44" t="str">
        <f t="shared" si="18"/>
        <v>-</v>
      </c>
      <c r="T42" s="44" t="str">
        <f t="shared" si="19"/>
        <v>-</v>
      </c>
      <c r="U42" s="45" t="str">
        <f>IF(T42&lt;&gt;"-",T42*60/'計画数(10分毎)'!$I$5*80%,"-")</f>
        <v>-</v>
      </c>
      <c r="V42" s="44">
        <f>IF('計画数(10分毎)'!$M$6=A42,'計画数(10分毎)'!$P$6,0)</f>
        <v>0</v>
      </c>
      <c r="W42" s="44" t="str">
        <f t="shared" si="20"/>
        <v>-</v>
      </c>
      <c r="X42" s="44" t="str">
        <f t="shared" si="21"/>
        <v>-</v>
      </c>
      <c r="Y42" s="45" t="str">
        <f>IF(X42&lt;&gt;"-",X42*60/'計画数(10分毎)'!$I$6*80%,"-")</f>
        <v>-</v>
      </c>
      <c r="Z42" s="45" t="str">
        <f t="shared" si="22"/>
        <v>-</v>
      </c>
      <c r="AA42" s="45">
        <f t="shared" si="23"/>
        <v>0</v>
      </c>
      <c r="AB42" s="46"/>
      <c r="AC42" s="44"/>
      <c r="AD42" s="44"/>
      <c r="AE42" s="44"/>
      <c r="AF42" s="47"/>
    </row>
    <row r="43" spans="1:32" x14ac:dyDescent="0.25">
      <c r="A43" s="35">
        <v>36</v>
      </c>
      <c r="B43" s="75"/>
      <c r="C43" s="42">
        <v>0.53472222222222221</v>
      </c>
      <c r="D43" s="82"/>
      <c r="E43" s="49"/>
      <c r="F43" s="50">
        <f>IF('計画数(10分毎)'!$M$2=A43,'計画数(10分毎)'!$P$2,0)</f>
        <v>0</v>
      </c>
      <c r="G43" s="50" t="str">
        <f t="shared" si="12"/>
        <v>-</v>
      </c>
      <c r="H43" s="50" t="str">
        <f t="shared" si="13"/>
        <v>-</v>
      </c>
      <c r="I43" s="51" t="str">
        <f>IF(H43&lt;&gt;"-",H43*60/'計画数(10分毎)'!$I$2*80%,"-")</f>
        <v>-</v>
      </c>
      <c r="J43" s="50">
        <f>IF('計画数(10分毎)'!$M$3=A43,'計画数(10分毎)'!$P$3,0)</f>
        <v>0</v>
      </c>
      <c r="K43" s="50" t="str">
        <f t="shared" si="14"/>
        <v>-</v>
      </c>
      <c r="L43" s="50" t="str">
        <f t="shared" si="15"/>
        <v>-</v>
      </c>
      <c r="M43" s="51" t="str">
        <f>IF(L43&lt;&gt;"-",L43*60/'計画数(10分毎)'!$I$3*80%,"-")</f>
        <v>-</v>
      </c>
      <c r="N43" s="50">
        <f>IF('計画数(10分毎)'!$M$4=A43,'計画数(10分毎)'!$P$4,0)</f>
        <v>0</v>
      </c>
      <c r="O43" s="50" t="str">
        <f t="shared" si="16"/>
        <v>-</v>
      </c>
      <c r="P43" s="50" t="str">
        <f t="shared" si="17"/>
        <v>-</v>
      </c>
      <c r="Q43" s="51" t="str">
        <f>IF(P43&lt;&gt;"-",P43*60/'計画数(10分毎)'!$I$4*80%,"-")</f>
        <v>-</v>
      </c>
      <c r="R43" s="50">
        <f>IF('計画数(10分毎)'!$M$5=A43,'計画数(10分毎)'!$P$5,0)</f>
        <v>0</v>
      </c>
      <c r="S43" s="50" t="str">
        <f t="shared" si="18"/>
        <v>-</v>
      </c>
      <c r="T43" s="50" t="str">
        <f t="shared" si="19"/>
        <v>-</v>
      </c>
      <c r="U43" s="51" t="str">
        <f>IF(T43&lt;&gt;"-",T43*60/'計画数(10分毎)'!$I$5*80%,"-")</f>
        <v>-</v>
      </c>
      <c r="V43" s="50">
        <f>IF('計画数(10分毎)'!$M$6=A43,'計画数(10分毎)'!$P$6,0)</f>
        <v>0</v>
      </c>
      <c r="W43" s="50" t="str">
        <f t="shared" si="20"/>
        <v>-</v>
      </c>
      <c r="X43" s="50" t="str">
        <f t="shared" si="21"/>
        <v>-</v>
      </c>
      <c r="Y43" s="51" t="str">
        <f>IF(X43&lt;&gt;"-",X43*60/'計画数(10分毎)'!$I$6*80%,"-")</f>
        <v>-</v>
      </c>
      <c r="Z43" s="51" t="str">
        <f t="shared" si="22"/>
        <v>-</v>
      </c>
      <c r="AA43" s="51">
        <f t="shared" si="23"/>
        <v>0</v>
      </c>
      <c r="AB43" s="52"/>
      <c r="AC43" s="49"/>
      <c r="AD43" s="49"/>
      <c r="AE43" s="49"/>
      <c r="AF43" s="53"/>
    </row>
    <row r="44" spans="1:32" x14ac:dyDescent="0.25">
      <c r="A44" s="35">
        <v>37</v>
      </c>
      <c r="B44" s="73">
        <v>0.54166666666666696</v>
      </c>
      <c r="C44" s="36">
        <v>0.54166666666666663</v>
      </c>
      <c r="D44" s="83"/>
      <c r="E44" s="38"/>
      <c r="F44" s="38">
        <f>IF('計画数(10分毎)'!$M$2=A44,'計画数(10分毎)'!$P$2,0)</f>
        <v>0</v>
      </c>
      <c r="G44" s="38" t="str">
        <f t="shared" si="12"/>
        <v>-</v>
      </c>
      <c r="H44" s="38" t="str">
        <f t="shared" si="13"/>
        <v>-</v>
      </c>
      <c r="I44" s="39" t="str">
        <f>IF(H44&lt;&gt;"-",H44*60/'計画数(10分毎)'!$I$2*80%,"-")</f>
        <v>-</v>
      </c>
      <c r="J44" s="38">
        <f>IF('計画数(10分毎)'!$M$3=A44,'計画数(10分毎)'!$P$3,0)</f>
        <v>0</v>
      </c>
      <c r="K44" s="38" t="str">
        <f t="shared" si="14"/>
        <v>-</v>
      </c>
      <c r="L44" s="38" t="str">
        <f t="shared" si="15"/>
        <v>-</v>
      </c>
      <c r="M44" s="39" t="str">
        <f>IF(L44&lt;&gt;"-",L44*60/'計画数(10分毎)'!$I$3*80%,"-")</f>
        <v>-</v>
      </c>
      <c r="N44" s="38">
        <f>IF('計画数(10分毎)'!$M$4=A44,'計画数(10分毎)'!$P$4,0)</f>
        <v>0</v>
      </c>
      <c r="O44" s="38" t="str">
        <f t="shared" si="16"/>
        <v>-</v>
      </c>
      <c r="P44" s="38" t="str">
        <f t="shared" si="17"/>
        <v>-</v>
      </c>
      <c r="Q44" s="39" t="str">
        <f>IF(P44&lt;&gt;"-",P44*60/'計画数(10分毎)'!$I$4*80%,"-")</f>
        <v>-</v>
      </c>
      <c r="R44" s="38">
        <f>IF('計画数(10分毎)'!$M$5=A44,'計画数(10分毎)'!$P$5,0)</f>
        <v>0</v>
      </c>
      <c r="S44" s="38" t="str">
        <f t="shared" si="18"/>
        <v>-</v>
      </c>
      <c r="T44" s="38" t="str">
        <f t="shared" si="19"/>
        <v>-</v>
      </c>
      <c r="U44" s="39" t="str">
        <f>IF(T44&lt;&gt;"-",T44*60/'計画数(10分毎)'!$I$5*80%,"-")</f>
        <v>-</v>
      </c>
      <c r="V44" s="38">
        <f>IF('計画数(10分毎)'!$M$6=A44,'計画数(10分毎)'!$P$6,0)</f>
        <v>0</v>
      </c>
      <c r="W44" s="38" t="str">
        <f t="shared" si="20"/>
        <v>-</v>
      </c>
      <c r="X44" s="38" t="str">
        <f t="shared" si="21"/>
        <v>-</v>
      </c>
      <c r="Y44" s="39" t="str">
        <f>IF(X44&lt;&gt;"-",X44*60/'計画数(10分毎)'!$I$6*80%,"-")</f>
        <v>-</v>
      </c>
      <c r="Z44" s="39" t="str">
        <f t="shared" si="22"/>
        <v>-</v>
      </c>
      <c r="AA44" s="39">
        <f t="shared" si="23"/>
        <v>0</v>
      </c>
      <c r="AB44" s="40"/>
      <c r="AC44" s="38"/>
      <c r="AD44" s="38"/>
      <c r="AE44" s="38"/>
      <c r="AF44" s="41"/>
    </row>
    <row r="45" spans="1:32" x14ac:dyDescent="0.25">
      <c r="A45" s="35">
        <v>38</v>
      </c>
      <c r="B45" s="74"/>
      <c r="C45" s="42">
        <v>0.54861111111111105</v>
      </c>
      <c r="D45" s="80"/>
      <c r="E45" s="44"/>
      <c r="F45" s="44">
        <f>IF('計画数(10分毎)'!$M$2=A45,'計画数(10分毎)'!$P$2,0)</f>
        <v>0</v>
      </c>
      <c r="G45" s="44" t="str">
        <f t="shared" si="12"/>
        <v>-</v>
      </c>
      <c r="H45" s="44" t="str">
        <f t="shared" si="13"/>
        <v>-</v>
      </c>
      <c r="I45" s="45" t="str">
        <f>IF(H45&lt;&gt;"-",H45*60/'計画数(10分毎)'!$I$2*80%,"-")</f>
        <v>-</v>
      </c>
      <c r="J45" s="44">
        <f>IF('計画数(10分毎)'!$M$3=A45,'計画数(10分毎)'!$P$3,0)</f>
        <v>0</v>
      </c>
      <c r="K45" s="44" t="str">
        <f t="shared" si="14"/>
        <v>-</v>
      </c>
      <c r="L45" s="44" t="str">
        <f t="shared" si="15"/>
        <v>-</v>
      </c>
      <c r="M45" s="45" t="str">
        <f>IF(L45&lt;&gt;"-",L45*60/'計画数(10分毎)'!$I$3*80%,"-")</f>
        <v>-</v>
      </c>
      <c r="N45" s="44">
        <f>IF('計画数(10分毎)'!$M$4=A45,'計画数(10分毎)'!$P$4,0)</f>
        <v>0</v>
      </c>
      <c r="O45" s="44" t="str">
        <f t="shared" si="16"/>
        <v>-</v>
      </c>
      <c r="P45" s="44" t="str">
        <f t="shared" si="17"/>
        <v>-</v>
      </c>
      <c r="Q45" s="45" t="str">
        <f>IF(P45&lt;&gt;"-",P45*60/'計画数(10分毎)'!$I$4*80%,"-")</f>
        <v>-</v>
      </c>
      <c r="R45" s="44">
        <f>IF('計画数(10分毎)'!$M$5=A45,'計画数(10分毎)'!$P$5,0)</f>
        <v>0</v>
      </c>
      <c r="S45" s="44" t="str">
        <f t="shared" si="18"/>
        <v>-</v>
      </c>
      <c r="T45" s="44" t="str">
        <f t="shared" si="19"/>
        <v>-</v>
      </c>
      <c r="U45" s="45" t="str">
        <f>IF(T45&lt;&gt;"-",T45*60/'計画数(10分毎)'!$I$5*80%,"-")</f>
        <v>-</v>
      </c>
      <c r="V45" s="44">
        <f>IF('計画数(10分毎)'!$M$6=A45,'計画数(10分毎)'!$P$6,0)</f>
        <v>0</v>
      </c>
      <c r="W45" s="44" t="str">
        <f t="shared" si="20"/>
        <v>-</v>
      </c>
      <c r="X45" s="44" t="str">
        <f t="shared" si="21"/>
        <v>-</v>
      </c>
      <c r="Y45" s="45" t="str">
        <f>IF(X45&lt;&gt;"-",X45*60/'計画数(10分毎)'!$I$6*80%,"-")</f>
        <v>-</v>
      </c>
      <c r="Z45" s="45" t="str">
        <f t="shared" si="22"/>
        <v>-</v>
      </c>
      <c r="AA45" s="45">
        <f t="shared" si="23"/>
        <v>0</v>
      </c>
      <c r="AB45" s="46"/>
      <c r="AC45" s="44"/>
      <c r="AD45" s="44"/>
      <c r="AE45" s="44"/>
      <c r="AF45" s="47"/>
    </row>
    <row r="46" spans="1:32" x14ac:dyDescent="0.25">
      <c r="A46" s="35">
        <v>39</v>
      </c>
      <c r="B46" s="74"/>
      <c r="C46" s="48">
        <v>0.55555555555555558</v>
      </c>
      <c r="D46" s="81"/>
      <c r="E46" s="49"/>
      <c r="F46" s="50">
        <f>IF('計画数(10分毎)'!$M$2=A46,'計画数(10分毎)'!$P$2,0)</f>
        <v>0</v>
      </c>
      <c r="G46" s="50" t="str">
        <f t="shared" si="12"/>
        <v>-</v>
      </c>
      <c r="H46" s="50" t="str">
        <f t="shared" si="13"/>
        <v>-</v>
      </c>
      <c r="I46" s="51" t="str">
        <f>IF(H46&lt;&gt;"-",H46*60/'計画数(10分毎)'!$I$2*80%,"-")</f>
        <v>-</v>
      </c>
      <c r="J46" s="50">
        <f>IF('計画数(10分毎)'!$M$3=A46,'計画数(10分毎)'!$P$3,0)</f>
        <v>0</v>
      </c>
      <c r="K46" s="50" t="str">
        <f t="shared" si="14"/>
        <v>-</v>
      </c>
      <c r="L46" s="50" t="str">
        <f t="shared" si="15"/>
        <v>-</v>
      </c>
      <c r="M46" s="51" t="str">
        <f>IF(L46&lt;&gt;"-",L46*60/'計画数(10分毎)'!$I$3*80%,"-")</f>
        <v>-</v>
      </c>
      <c r="N46" s="50">
        <f>IF('計画数(10分毎)'!$M$4=A46,'計画数(10分毎)'!$P$4,0)</f>
        <v>0</v>
      </c>
      <c r="O46" s="50" t="str">
        <f t="shared" si="16"/>
        <v>-</v>
      </c>
      <c r="P46" s="50" t="str">
        <f t="shared" si="17"/>
        <v>-</v>
      </c>
      <c r="Q46" s="51" t="str">
        <f>IF(P46&lt;&gt;"-",P46*60/'計画数(10分毎)'!$I$4*80%,"-")</f>
        <v>-</v>
      </c>
      <c r="R46" s="50">
        <f>IF('計画数(10分毎)'!$M$5=A46,'計画数(10分毎)'!$P$5,0)</f>
        <v>0</v>
      </c>
      <c r="S46" s="50" t="str">
        <f t="shared" si="18"/>
        <v>-</v>
      </c>
      <c r="T46" s="50" t="str">
        <f t="shared" si="19"/>
        <v>-</v>
      </c>
      <c r="U46" s="51" t="str">
        <f>IF(T46&lt;&gt;"-",T46*60/'計画数(10分毎)'!$I$5*80%,"-")</f>
        <v>-</v>
      </c>
      <c r="V46" s="50">
        <f>IF('計画数(10分毎)'!$M$6=A46,'計画数(10分毎)'!$P$6,0)</f>
        <v>0</v>
      </c>
      <c r="W46" s="50" t="str">
        <f t="shared" si="20"/>
        <v>-</v>
      </c>
      <c r="X46" s="50" t="str">
        <f t="shared" si="21"/>
        <v>-</v>
      </c>
      <c r="Y46" s="51" t="str">
        <f>IF(X46&lt;&gt;"-",X46*60/'計画数(10分毎)'!$I$6*80%,"-")</f>
        <v>-</v>
      </c>
      <c r="Z46" s="51" t="str">
        <f t="shared" si="22"/>
        <v>-</v>
      </c>
      <c r="AA46" s="51">
        <f t="shared" si="23"/>
        <v>0</v>
      </c>
      <c r="AB46" s="52"/>
      <c r="AC46" s="49"/>
      <c r="AD46" s="49"/>
      <c r="AE46" s="49"/>
      <c r="AF46" s="53"/>
    </row>
    <row r="47" spans="1:32" x14ac:dyDescent="0.25">
      <c r="A47" s="35">
        <v>40</v>
      </c>
      <c r="B47" s="74"/>
      <c r="C47" s="42">
        <v>0.5625</v>
      </c>
      <c r="D47" s="79"/>
      <c r="E47" s="38"/>
      <c r="F47" s="38">
        <f>IF('計画数(10分毎)'!$M$2=A47,'計画数(10分毎)'!$P$2,0)</f>
        <v>0</v>
      </c>
      <c r="G47" s="38" t="str">
        <f t="shared" si="12"/>
        <v>-</v>
      </c>
      <c r="H47" s="38" t="str">
        <f t="shared" si="13"/>
        <v>-</v>
      </c>
      <c r="I47" s="39" t="str">
        <f>IF(H47&lt;&gt;"-",H47*60/'計画数(10分毎)'!$I$2*80%,"-")</f>
        <v>-</v>
      </c>
      <c r="J47" s="38">
        <f>IF('計画数(10分毎)'!$M$3=A47,'計画数(10分毎)'!$P$3,0)</f>
        <v>0</v>
      </c>
      <c r="K47" s="38" t="str">
        <f t="shared" si="14"/>
        <v>-</v>
      </c>
      <c r="L47" s="38" t="str">
        <f t="shared" si="15"/>
        <v>-</v>
      </c>
      <c r="M47" s="39" t="str">
        <f>IF(L47&lt;&gt;"-",L47*60/'計画数(10分毎)'!$I$3*80%,"-")</f>
        <v>-</v>
      </c>
      <c r="N47" s="38">
        <f>IF('計画数(10分毎)'!$M$4=A47,'計画数(10分毎)'!$P$4,0)</f>
        <v>0</v>
      </c>
      <c r="O47" s="38" t="str">
        <f t="shared" si="16"/>
        <v>-</v>
      </c>
      <c r="P47" s="38" t="str">
        <f t="shared" si="17"/>
        <v>-</v>
      </c>
      <c r="Q47" s="39" t="str">
        <f>IF(P47&lt;&gt;"-",P47*60/'計画数(10分毎)'!$I$4*80%,"-")</f>
        <v>-</v>
      </c>
      <c r="R47" s="38">
        <f>IF('計画数(10分毎)'!$M$5=A47,'計画数(10分毎)'!$P$5,0)</f>
        <v>0</v>
      </c>
      <c r="S47" s="38" t="str">
        <f t="shared" si="18"/>
        <v>-</v>
      </c>
      <c r="T47" s="38" t="str">
        <f t="shared" si="19"/>
        <v>-</v>
      </c>
      <c r="U47" s="39" t="str">
        <f>IF(T47&lt;&gt;"-",T47*60/'計画数(10分毎)'!$I$5*80%,"-")</f>
        <v>-</v>
      </c>
      <c r="V47" s="38">
        <f>IF('計画数(10分毎)'!$M$6=A47,'計画数(10分毎)'!$P$6,0)</f>
        <v>0</v>
      </c>
      <c r="W47" s="38" t="str">
        <f t="shared" si="20"/>
        <v>-</v>
      </c>
      <c r="X47" s="38" t="str">
        <f t="shared" si="21"/>
        <v>-</v>
      </c>
      <c r="Y47" s="39" t="str">
        <f>IF(X47&lt;&gt;"-",X47*60/'計画数(10分毎)'!$I$6*80%,"-")</f>
        <v>-</v>
      </c>
      <c r="Z47" s="39" t="str">
        <f t="shared" si="22"/>
        <v>-</v>
      </c>
      <c r="AA47" s="39">
        <f t="shared" si="23"/>
        <v>0</v>
      </c>
      <c r="AB47" s="40"/>
      <c r="AC47" s="38"/>
      <c r="AD47" s="38"/>
      <c r="AE47" s="38"/>
      <c r="AF47" s="41"/>
    </row>
    <row r="48" spans="1:32" x14ac:dyDescent="0.25">
      <c r="A48" s="35">
        <v>41</v>
      </c>
      <c r="B48" s="74"/>
      <c r="C48" s="42">
        <v>0.56944444444444442</v>
      </c>
      <c r="D48" s="80"/>
      <c r="E48" s="44"/>
      <c r="F48" s="44">
        <f>IF('計画数(10分毎)'!$M$2=A48,'計画数(10分毎)'!$P$2,0)</f>
        <v>0</v>
      </c>
      <c r="G48" s="44" t="str">
        <f t="shared" si="12"/>
        <v>-</v>
      </c>
      <c r="H48" s="44" t="str">
        <f t="shared" si="13"/>
        <v>-</v>
      </c>
      <c r="I48" s="45" t="str">
        <f>IF(H48&lt;&gt;"-",H48*60/'計画数(10分毎)'!$I$2*80%,"-")</f>
        <v>-</v>
      </c>
      <c r="J48" s="44">
        <f>IF('計画数(10分毎)'!$M$3=A48,'計画数(10分毎)'!$P$3,0)</f>
        <v>0</v>
      </c>
      <c r="K48" s="44" t="str">
        <f t="shared" si="14"/>
        <v>-</v>
      </c>
      <c r="L48" s="44" t="str">
        <f t="shared" si="15"/>
        <v>-</v>
      </c>
      <c r="M48" s="45" t="str">
        <f>IF(L48&lt;&gt;"-",L48*60/'計画数(10分毎)'!$I$3*80%,"-")</f>
        <v>-</v>
      </c>
      <c r="N48" s="44">
        <f>IF('計画数(10分毎)'!$M$4=A48,'計画数(10分毎)'!$P$4,0)</f>
        <v>0</v>
      </c>
      <c r="O48" s="44" t="str">
        <f t="shared" si="16"/>
        <v>-</v>
      </c>
      <c r="P48" s="44" t="str">
        <f t="shared" si="17"/>
        <v>-</v>
      </c>
      <c r="Q48" s="45" t="str">
        <f>IF(P48&lt;&gt;"-",P48*60/'計画数(10分毎)'!$I$4*80%,"-")</f>
        <v>-</v>
      </c>
      <c r="R48" s="44">
        <f>IF('計画数(10分毎)'!$M$5=A48,'計画数(10分毎)'!$P$5,0)</f>
        <v>0</v>
      </c>
      <c r="S48" s="44" t="str">
        <f t="shared" si="18"/>
        <v>-</v>
      </c>
      <c r="T48" s="44" t="str">
        <f t="shared" si="19"/>
        <v>-</v>
      </c>
      <c r="U48" s="45" t="str">
        <f>IF(T48&lt;&gt;"-",T48*60/'計画数(10分毎)'!$I$5*80%,"-")</f>
        <v>-</v>
      </c>
      <c r="V48" s="44">
        <f>IF('計画数(10分毎)'!$M$6=A48,'計画数(10分毎)'!$P$6,0)</f>
        <v>0</v>
      </c>
      <c r="W48" s="44" t="str">
        <f t="shared" si="20"/>
        <v>-</v>
      </c>
      <c r="X48" s="44" t="str">
        <f t="shared" si="21"/>
        <v>-</v>
      </c>
      <c r="Y48" s="45" t="str">
        <f>IF(X48&lt;&gt;"-",X48*60/'計画数(10分毎)'!$I$6*80%,"-")</f>
        <v>-</v>
      </c>
      <c r="Z48" s="45" t="str">
        <f t="shared" si="22"/>
        <v>-</v>
      </c>
      <c r="AA48" s="45">
        <f t="shared" si="23"/>
        <v>0</v>
      </c>
      <c r="AB48" s="46"/>
      <c r="AC48" s="44"/>
      <c r="AD48" s="44"/>
      <c r="AE48" s="44"/>
      <c r="AF48" s="47"/>
    </row>
    <row r="49" spans="1:32" x14ac:dyDescent="0.25">
      <c r="A49" s="35">
        <v>42</v>
      </c>
      <c r="B49" s="75"/>
      <c r="C49" s="42">
        <v>0.57638888888888895</v>
      </c>
      <c r="D49" s="82"/>
      <c r="E49" s="49"/>
      <c r="F49" s="50">
        <f>IF('計画数(10分毎)'!$M$2=A49,'計画数(10分毎)'!$P$2,0)</f>
        <v>0</v>
      </c>
      <c r="G49" s="50" t="str">
        <f t="shared" si="12"/>
        <v>-</v>
      </c>
      <c r="H49" s="50" t="str">
        <f t="shared" si="13"/>
        <v>-</v>
      </c>
      <c r="I49" s="51" t="str">
        <f>IF(H49&lt;&gt;"-",H49*60/'計画数(10分毎)'!$I$2*80%,"-")</f>
        <v>-</v>
      </c>
      <c r="J49" s="50">
        <f>IF('計画数(10分毎)'!$M$3=A49,'計画数(10分毎)'!$P$3,0)</f>
        <v>0</v>
      </c>
      <c r="K49" s="50" t="str">
        <f t="shared" si="14"/>
        <v>-</v>
      </c>
      <c r="L49" s="50" t="str">
        <f t="shared" si="15"/>
        <v>-</v>
      </c>
      <c r="M49" s="51" t="str">
        <f>IF(L49&lt;&gt;"-",L49*60/'計画数(10分毎)'!$I$3*80%,"-")</f>
        <v>-</v>
      </c>
      <c r="N49" s="50">
        <f>IF('計画数(10分毎)'!$M$4=A49,'計画数(10分毎)'!$P$4,0)</f>
        <v>0</v>
      </c>
      <c r="O49" s="50" t="str">
        <f t="shared" si="16"/>
        <v>-</v>
      </c>
      <c r="P49" s="50" t="str">
        <f t="shared" si="17"/>
        <v>-</v>
      </c>
      <c r="Q49" s="51" t="str">
        <f>IF(P49&lt;&gt;"-",P49*60/'計画数(10分毎)'!$I$4*80%,"-")</f>
        <v>-</v>
      </c>
      <c r="R49" s="50">
        <f>IF('計画数(10分毎)'!$M$5=A49,'計画数(10分毎)'!$P$5,0)</f>
        <v>0</v>
      </c>
      <c r="S49" s="50" t="str">
        <f t="shared" si="18"/>
        <v>-</v>
      </c>
      <c r="T49" s="50" t="str">
        <f t="shared" si="19"/>
        <v>-</v>
      </c>
      <c r="U49" s="51" t="str">
        <f>IF(T49&lt;&gt;"-",T49*60/'計画数(10分毎)'!$I$5*80%,"-")</f>
        <v>-</v>
      </c>
      <c r="V49" s="50">
        <f>IF('計画数(10分毎)'!$M$6=A49,'計画数(10分毎)'!$P$6,0)</f>
        <v>0</v>
      </c>
      <c r="W49" s="50" t="str">
        <f t="shared" si="20"/>
        <v>-</v>
      </c>
      <c r="X49" s="50" t="str">
        <f t="shared" si="21"/>
        <v>-</v>
      </c>
      <c r="Y49" s="51" t="str">
        <f>IF(X49&lt;&gt;"-",X49*60/'計画数(10分毎)'!$I$6*80%,"-")</f>
        <v>-</v>
      </c>
      <c r="Z49" s="51" t="str">
        <f t="shared" si="22"/>
        <v>-</v>
      </c>
      <c r="AA49" s="51">
        <f t="shared" si="23"/>
        <v>0</v>
      </c>
      <c r="AB49" s="52"/>
      <c r="AC49" s="49"/>
      <c r="AD49" s="49"/>
      <c r="AE49" s="49"/>
      <c r="AF49" s="53"/>
    </row>
    <row r="50" spans="1:32" x14ac:dyDescent="0.25">
      <c r="A50" s="35">
        <v>43</v>
      </c>
      <c r="B50" s="73">
        <v>0.58333333333333304</v>
      </c>
      <c r="C50" s="36">
        <v>0.58333333333333337</v>
      </c>
      <c r="D50" s="83"/>
      <c r="E50" s="38"/>
      <c r="F50" s="38">
        <f>IF('計画数(10分毎)'!$M$2=A50,'計画数(10分毎)'!$P$2,0)</f>
        <v>0</v>
      </c>
      <c r="G50" s="38" t="str">
        <f t="shared" si="12"/>
        <v>-</v>
      </c>
      <c r="H50" s="38" t="str">
        <f t="shared" si="13"/>
        <v>-</v>
      </c>
      <c r="I50" s="39" t="str">
        <f>IF(H50&lt;&gt;"-",H50*60/'計画数(10分毎)'!$I$2*80%,"-")</f>
        <v>-</v>
      </c>
      <c r="J50" s="38">
        <f>IF('計画数(10分毎)'!$M$3=A50,'計画数(10分毎)'!$P$3,0)</f>
        <v>0</v>
      </c>
      <c r="K50" s="38" t="str">
        <f t="shared" si="14"/>
        <v>-</v>
      </c>
      <c r="L50" s="38" t="str">
        <f t="shared" si="15"/>
        <v>-</v>
      </c>
      <c r="M50" s="39" t="str">
        <f>IF(L50&lt;&gt;"-",L50*60/'計画数(10分毎)'!$I$3*80%,"-")</f>
        <v>-</v>
      </c>
      <c r="N50" s="38">
        <f>IF('計画数(10分毎)'!$M$4=A50,'計画数(10分毎)'!$P$4,0)</f>
        <v>0</v>
      </c>
      <c r="O50" s="38" t="str">
        <f t="shared" si="16"/>
        <v>-</v>
      </c>
      <c r="P50" s="38" t="str">
        <f t="shared" si="17"/>
        <v>-</v>
      </c>
      <c r="Q50" s="39" t="str">
        <f>IF(P50&lt;&gt;"-",P50*60/'計画数(10分毎)'!$I$4*80%,"-")</f>
        <v>-</v>
      </c>
      <c r="R50" s="38">
        <f>IF('計画数(10分毎)'!$M$5=A50,'計画数(10分毎)'!$P$5,0)</f>
        <v>0</v>
      </c>
      <c r="S50" s="38" t="str">
        <f t="shared" si="18"/>
        <v>-</v>
      </c>
      <c r="T50" s="38" t="str">
        <f t="shared" si="19"/>
        <v>-</v>
      </c>
      <c r="U50" s="39" t="str">
        <f>IF(T50&lt;&gt;"-",T50*60/'計画数(10分毎)'!$I$5*80%,"-")</f>
        <v>-</v>
      </c>
      <c r="V50" s="38">
        <f>IF('計画数(10分毎)'!$M$6=A50,'計画数(10分毎)'!$P$6,0)</f>
        <v>0</v>
      </c>
      <c r="W50" s="38" t="str">
        <f t="shared" si="20"/>
        <v>-</v>
      </c>
      <c r="X50" s="38" t="str">
        <f t="shared" si="21"/>
        <v>-</v>
      </c>
      <c r="Y50" s="39" t="str">
        <f>IF(X50&lt;&gt;"-",X50*60/'計画数(10分毎)'!$I$6*80%,"-")</f>
        <v>-</v>
      </c>
      <c r="Z50" s="39" t="str">
        <f t="shared" si="22"/>
        <v>-</v>
      </c>
      <c r="AA50" s="39">
        <f t="shared" si="23"/>
        <v>0</v>
      </c>
      <c r="AB50" s="40"/>
      <c r="AC50" s="38"/>
      <c r="AD50" s="38"/>
      <c r="AE50" s="38"/>
      <c r="AF50" s="41"/>
    </row>
    <row r="51" spans="1:32" x14ac:dyDescent="0.25">
      <c r="A51" s="35">
        <v>44</v>
      </c>
      <c r="B51" s="74"/>
      <c r="C51" s="42">
        <v>0.59027777777777779</v>
      </c>
      <c r="D51" s="80"/>
      <c r="E51" s="44"/>
      <c r="F51" s="44">
        <f>IF('計画数(10分毎)'!$M$2=A51,'計画数(10分毎)'!$P$2,0)</f>
        <v>0</v>
      </c>
      <c r="G51" s="44" t="str">
        <f t="shared" si="12"/>
        <v>-</v>
      </c>
      <c r="H51" s="44" t="str">
        <f t="shared" si="13"/>
        <v>-</v>
      </c>
      <c r="I51" s="45" t="str">
        <f>IF(H51&lt;&gt;"-",H51*60/'計画数(10分毎)'!$I$2*80%,"-")</f>
        <v>-</v>
      </c>
      <c r="J51" s="44">
        <f>IF('計画数(10分毎)'!$M$3=A51,'計画数(10分毎)'!$P$3,0)</f>
        <v>0</v>
      </c>
      <c r="K51" s="44" t="str">
        <f t="shared" si="14"/>
        <v>-</v>
      </c>
      <c r="L51" s="44" t="str">
        <f t="shared" si="15"/>
        <v>-</v>
      </c>
      <c r="M51" s="45" t="str">
        <f>IF(L51&lt;&gt;"-",L51*60/'計画数(10分毎)'!$I$3*80%,"-")</f>
        <v>-</v>
      </c>
      <c r="N51" s="44">
        <f>IF('計画数(10分毎)'!$M$4=A51,'計画数(10分毎)'!$P$4,0)</f>
        <v>0</v>
      </c>
      <c r="O51" s="44" t="str">
        <f t="shared" si="16"/>
        <v>-</v>
      </c>
      <c r="P51" s="44" t="str">
        <f t="shared" si="17"/>
        <v>-</v>
      </c>
      <c r="Q51" s="45" t="str">
        <f>IF(P51&lt;&gt;"-",P51*60/'計画数(10分毎)'!$I$4*80%,"-")</f>
        <v>-</v>
      </c>
      <c r="R51" s="44">
        <f>IF('計画数(10分毎)'!$M$5=A51,'計画数(10分毎)'!$P$5,0)</f>
        <v>0</v>
      </c>
      <c r="S51" s="44" t="str">
        <f t="shared" si="18"/>
        <v>-</v>
      </c>
      <c r="T51" s="44" t="str">
        <f t="shared" si="19"/>
        <v>-</v>
      </c>
      <c r="U51" s="45" t="str">
        <f>IF(T51&lt;&gt;"-",T51*60/'計画数(10分毎)'!$I$5*80%,"-")</f>
        <v>-</v>
      </c>
      <c r="V51" s="44">
        <f>IF('計画数(10分毎)'!$M$6=A51,'計画数(10分毎)'!$P$6,0)</f>
        <v>0</v>
      </c>
      <c r="W51" s="44" t="str">
        <f t="shared" si="20"/>
        <v>-</v>
      </c>
      <c r="X51" s="44" t="str">
        <f t="shared" si="21"/>
        <v>-</v>
      </c>
      <c r="Y51" s="45" t="str">
        <f>IF(X51&lt;&gt;"-",X51*60/'計画数(10分毎)'!$I$6*80%,"-")</f>
        <v>-</v>
      </c>
      <c r="Z51" s="45" t="str">
        <f t="shared" si="22"/>
        <v>-</v>
      </c>
      <c r="AA51" s="45">
        <f t="shared" si="23"/>
        <v>0</v>
      </c>
      <c r="AB51" s="46"/>
      <c r="AC51" s="44"/>
      <c r="AD51" s="44"/>
      <c r="AE51" s="44"/>
      <c r="AF51" s="47"/>
    </row>
    <row r="52" spans="1:32" x14ac:dyDescent="0.25">
      <c r="A52" s="35">
        <v>45</v>
      </c>
      <c r="B52" s="74"/>
      <c r="C52" s="59">
        <v>0.59722222222222221</v>
      </c>
      <c r="D52" s="87" t="s">
        <v>11</v>
      </c>
      <c r="E52" s="49"/>
      <c r="F52" s="50">
        <f>IF('計画数(10分毎)'!$M$2=A52,'計画数(10分毎)'!$P$2,0)</f>
        <v>0</v>
      </c>
      <c r="G52" s="50" t="str">
        <f t="shared" si="12"/>
        <v>-</v>
      </c>
      <c r="H52" s="50" t="str">
        <f t="shared" si="13"/>
        <v>-</v>
      </c>
      <c r="I52" s="51" t="str">
        <f>IF(H52&lt;&gt;"-",H52*60/'計画数(10分毎)'!$I$2*80%,"-")</f>
        <v>-</v>
      </c>
      <c r="J52" s="50">
        <f>IF('計画数(10分毎)'!$M$3=A52,'計画数(10分毎)'!$P$3,0)</f>
        <v>0</v>
      </c>
      <c r="K52" s="50" t="str">
        <f t="shared" si="14"/>
        <v>-</v>
      </c>
      <c r="L52" s="50" t="str">
        <f t="shared" si="15"/>
        <v>-</v>
      </c>
      <c r="M52" s="51" t="str">
        <f>IF(L52&lt;&gt;"-",L52*60/'計画数(10分毎)'!$I$3*80%,"-")</f>
        <v>-</v>
      </c>
      <c r="N52" s="50">
        <f>IF('計画数(10分毎)'!$M$4=A52,'計画数(10分毎)'!$P$4,0)</f>
        <v>0</v>
      </c>
      <c r="O52" s="50" t="str">
        <f t="shared" si="16"/>
        <v>-</v>
      </c>
      <c r="P52" s="50" t="str">
        <f t="shared" si="17"/>
        <v>-</v>
      </c>
      <c r="Q52" s="51" t="str">
        <f>IF(P52&lt;&gt;"-",P52*60/'計画数(10分毎)'!$I$4*80%,"-")</f>
        <v>-</v>
      </c>
      <c r="R52" s="50">
        <f>IF('計画数(10分毎)'!$M$5=A52,'計画数(10分毎)'!$P$5,0)</f>
        <v>0</v>
      </c>
      <c r="S52" s="50" t="str">
        <f t="shared" si="18"/>
        <v>-</v>
      </c>
      <c r="T52" s="50" t="str">
        <f t="shared" si="19"/>
        <v>-</v>
      </c>
      <c r="U52" s="51" t="str">
        <f>IF(T52&lt;&gt;"-",T52*60/'計画数(10分毎)'!$I$5*80%,"-")</f>
        <v>-</v>
      </c>
      <c r="V52" s="50">
        <f>IF('計画数(10分毎)'!$M$6=A52,'計画数(10分毎)'!$P$6,0)</f>
        <v>0</v>
      </c>
      <c r="W52" s="50" t="str">
        <f t="shared" si="20"/>
        <v>-</v>
      </c>
      <c r="X52" s="50" t="str">
        <f t="shared" si="21"/>
        <v>-</v>
      </c>
      <c r="Y52" s="51" t="str">
        <f>IF(X52&lt;&gt;"-",X52*60/'計画数(10分毎)'!$I$6*80%,"-")</f>
        <v>-</v>
      </c>
      <c r="Z52" s="51" t="str">
        <f t="shared" si="22"/>
        <v>-</v>
      </c>
      <c r="AA52" s="51">
        <f t="shared" si="23"/>
        <v>0</v>
      </c>
      <c r="AB52" s="52"/>
      <c r="AC52" s="49"/>
      <c r="AD52" s="49"/>
      <c r="AE52" s="49"/>
      <c r="AF52" s="53"/>
    </row>
    <row r="53" spans="1:32" x14ac:dyDescent="0.25">
      <c r="A53" s="35">
        <v>46</v>
      </c>
      <c r="B53" s="74"/>
      <c r="C53" s="42">
        <v>0.60416666666666663</v>
      </c>
      <c r="D53" s="79"/>
      <c r="E53" s="38"/>
      <c r="F53" s="38">
        <f>IF('計画数(10分毎)'!$M$2=A53,'計画数(10分毎)'!$P$2,0)</f>
        <v>0</v>
      </c>
      <c r="G53" s="38" t="str">
        <f t="shared" si="12"/>
        <v>-</v>
      </c>
      <c r="H53" s="38" t="str">
        <f t="shared" si="13"/>
        <v>-</v>
      </c>
      <c r="I53" s="39" t="str">
        <f>IF(H53&lt;&gt;"-",H53*60/'計画数(10分毎)'!$I$2*80%,"-")</f>
        <v>-</v>
      </c>
      <c r="J53" s="38">
        <f>IF('計画数(10分毎)'!$M$3=A53,'計画数(10分毎)'!$P$3,0)</f>
        <v>0</v>
      </c>
      <c r="K53" s="38" t="str">
        <f t="shared" si="14"/>
        <v>-</v>
      </c>
      <c r="L53" s="38" t="str">
        <f t="shared" si="15"/>
        <v>-</v>
      </c>
      <c r="M53" s="39" t="str">
        <f>IF(L53&lt;&gt;"-",L53*60/'計画数(10分毎)'!$I$3*80%,"-")</f>
        <v>-</v>
      </c>
      <c r="N53" s="38">
        <f>IF('計画数(10分毎)'!$M$4=A53,'計画数(10分毎)'!$P$4,0)</f>
        <v>0</v>
      </c>
      <c r="O53" s="38" t="str">
        <f t="shared" si="16"/>
        <v>-</v>
      </c>
      <c r="P53" s="38" t="str">
        <f t="shared" si="17"/>
        <v>-</v>
      </c>
      <c r="Q53" s="39" t="str">
        <f>IF(P53&lt;&gt;"-",P53*60/'計画数(10分毎)'!$I$4*80%,"-")</f>
        <v>-</v>
      </c>
      <c r="R53" s="38">
        <f>IF('計画数(10分毎)'!$M$5=A53,'計画数(10分毎)'!$P$5,0)</f>
        <v>0</v>
      </c>
      <c r="S53" s="38" t="str">
        <f t="shared" si="18"/>
        <v>-</v>
      </c>
      <c r="T53" s="38" t="str">
        <f t="shared" si="19"/>
        <v>-</v>
      </c>
      <c r="U53" s="39" t="str">
        <f>IF(T53&lt;&gt;"-",T53*60/'計画数(10分毎)'!$I$5*80%,"-")</f>
        <v>-</v>
      </c>
      <c r="V53" s="38">
        <f>IF('計画数(10分毎)'!$M$6=A53,'計画数(10分毎)'!$P$6,0)</f>
        <v>0</v>
      </c>
      <c r="W53" s="38" t="str">
        <f t="shared" si="20"/>
        <v>-</v>
      </c>
      <c r="X53" s="38" t="str">
        <f t="shared" si="21"/>
        <v>-</v>
      </c>
      <c r="Y53" s="39" t="str">
        <f>IF(X53&lt;&gt;"-",X53*60/'計画数(10分毎)'!$I$6*80%,"-")</f>
        <v>-</v>
      </c>
      <c r="Z53" s="39" t="str">
        <f t="shared" si="22"/>
        <v>-</v>
      </c>
      <c r="AA53" s="39">
        <f t="shared" si="23"/>
        <v>0</v>
      </c>
      <c r="AB53" s="40"/>
      <c r="AC53" s="38"/>
      <c r="AD53" s="38"/>
      <c r="AE53" s="38"/>
      <c r="AF53" s="41"/>
    </row>
    <row r="54" spans="1:32" x14ac:dyDescent="0.25">
      <c r="A54" s="35">
        <v>47</v>
      </c>
      <c r="B54" s="74"/>
      <c r="C54" s="42">
        <v>0.61111111111111105</v>
      </c>
      <c r="D54" s="80"/>
      <c r="E54" s="44"/>
      <c r="F54" s="44">
        <f>IF('計画数(10分毎)'!$M$2=A54,'計画数(10分毎)'!$P$2,0)</f>
        <v>0</v>
      </c>
      <c r="G54" s="44" t="str">
        <f t="shared" si="12"/>
        <v>-</v>
      </c>
      <c r="H54" s="44" t="str">
        <f t="shared" si="13"/>
        <v>-</v>
      </c>
      <c r="I54" s="45" t="str">
        <f>IF(H54&lt;&gt;"-",H54*60/'計画数(10分毎)'!$I$2*80%,"-")</f>
        <v>-</v>
      </c>
      <c r="J54" s="44">
        <f>IF('計画数(10分毎)'!$M$3=A54,'計画数(10分毎)'!$P$3,0)</f>
        <v>0</v>
      </c>
      <c r="K54" s="44" t="str">
        <f t="shared" si="14"/>
        <v>-</v>
      </c>
      <c r="L54" s="44" t="str">
        <f t="shared" si="15"/>
        <v>-</v>
      </c>
      <c r="M54" s="45" t="str">
        <f>IF(L54&lt;&gt;"-",L54*60/'計画数(10分毎)'!$I$3*80%,"-")</f>
        <v>-</v>
      </c>
      <c r="N54" s="44">
        <f>IF('計画数(10分毎)'!$M$4=A54,'計画数(10分毎)'!$P$4,0)</f>
        <v>0</v>
      </c>
      <c r="O54" s="44" t="str">
        <f t="shared" si="16"/>
        <v>-</v>
      </c>
      <c r="P54" s="44" t="str">
        <f t="shared" si="17"/>
        <v>-</v>
      </c>
      <c r="Q54" s="45" t="str">
        <f>IF(P54&lt;&gt;"-",P54*60/'計画数(10分毎)'!$I$4*80%,"-")</f>
        <v>-</v>
      </c>
      <c r="R54" s="44">
        <f>IF('計画数(10分毎)'!$M$5=A54,'計画数(10分毎)'!$P$5,0)</f>
        <v>0</v>
      </c>
      <c r="S54" s="44" t="str">
        <f t="shared" si="18"/>
        <v>-</v>
      </c>
      <c r="T54" s="44" t="str">
        <f t="shared" si="19"/>
        <v>-</v>
      </c>
      <c r="U54" s="45" t="str">
        <f>IF(T54&lt;&gt;"-",T54*60/'計画数(10分毎)'!$I$5*80%,"-")</f>
        <v>-</v>
      </c>
      <c r="V54" s="44">
        <f>IF('計画数(10分毎)'!$M$6=A54,'計画数(10分毎)'!$P$6,0)</f>
        <v>0</v>
      </c>
      <c r="W54" s="44" t="str">
        <f t="shared" si="20"/>
        <v>-</v>
      </c>
      <c r="X54" s="44" t="str">
        <f t="shared" si="21"/>
        <v>-</v>
      </c>
      <c r="Y54" s="45" t="str">
        <f>IF(X54&lt;&gt;"-",X54*60/'計画数(10分毎)'!$I$6*80%,"-")</f>
        <v>-</v>
      </c>
      <c r="Z54" s="45" t="str">
        <f t="shared" si="22"/>
        <v>-</v>
      </c>
      <c r="AA54" s="45">
        <f t="shared" si="23"/>
        <v>0</v>
      </c>
      <c r="AB54" s="46"/>
      <c r="AC54" s="44"/>
      <c r="AD54" s="44"/>
      <c r="AE54" s="44"/>
      <c r="AF54" s="47"/>
    </row>
    <row r="55" spans="1:32" x14ac:dyDescent="0.25">
      <c r="A55" s="35">
        <v>48</v>
      </c>
      <c r="B55" s="75"/>
      <c r="C55" s="42">
        <v>0.61805555555555558</v>
      </c>
      <c r="D55" s="82"/>
      <c r="E55" s="49"/>
      <c r="F55" s="50">
        <f>IF('計画数(10分毎)'!$M$2=A55,'計画数(10分毎)'!$P$2,0)</f>
        <v>0</v>
      </c>
      <c r="G55" s="50" t="str">
        <f t="shared" si="12"/>
        <v>-</v>
      </c>
      <c r="H55" s="50" t="str">
        <f t="shared" si="13"/>
        <v>-</v>
      </c>
      <c r="I55" s="51" t="str">
        <f>IF(H55&lt;&gt;"-",H55*60/'計画数(10分毎)'!$I$2*80%,"-")</f>
        <v>-</v>
      </c>
      <c r="J55" s="50">
        <f>IF('計画数(10分毎)'!$M$3=A55,'計画数(10分毎)'!$P$3,0)</f>
        <v>0</v>
      </c>
      <c r="K55" s="50" t="str">
        <f t="shared" si="14"/>
        <v>-</v>
      </c>
      <c r="L55" s="50" t="str">
        <f t="shared" si="15"/>
        <v>-</v>
      </c>
      <c r="M55" s="51" t="str">
        <f>IF(L55&lt;&gt;"-",L55*60/'計画数(10分毎)'!$I$3*80%,"-")</f>
        <v>-</v>
      </c>
      <c r="N55" s="50">
        <f>IF('計画数(10分毎)'!$M$4=A55,'計画数(10分毎)'!$P$4,0)</f>
        <v>0</v>
      </c>
      <c r="O55" s="50" t="str">
        <f t="shared" si="16"/>
        <v>-</v>
      </c>
      <c r="P55" s="50" t="str">
        <f t="shared" si="17"/>
        <v>-</v>
      </c>
      <c r="Q55" s="51" t="str">
        <f>IF(P55&lt;&gt;"-",P55*60/'計画数(10分毎)'!$I$4*80%,"-")</f>
        <v>-</v>
      </c>
      <c r="R55" s="50">
        <f>IF('計画数(10分毎)'!$M$5=A55,'計画数(10分毎)'!$P$5,0)</f>
        <v>0</v>
      </c>
      <c r="S55" s="50" t="str">
        <f t="shared" si="18"/>
        <v>-</v>
      </c>
      <c r="T55" s="50" t="str">
        <f t="shared" si="19"/>
        <v>-</v>
      </c>
      <c r="U55" s="51" t="str">
        <f>IF(T55&lt;&gt;"-",T55*60/'計画数(10分毎)'!$I$5*80%,"-")</f>
        <v>-</v>
      </c>
      <c r="V55" s="50">
        <f>IF('計画数(10分毎)'!$M$6=A55,'計画数(10分毎)'!$P$6,0)</f>
        <v>0</v>
      </c>
      <c r="W55" s="50" t="str">
        <f t="shared" si="20"/>
        <v>-</v>
      </c>
      <c r="X55" s="50" t="str">
        <f t="shared" si="21"/>
        <v>-</v>
      </c>
      <c r="Y55" s="51" t="str">
        <f>IF(X55&lt;&gt;"-",X55*60/'計画数(10分毎)'!$I$6*80%,"-")</f>
        <v>-</v>
      </c>
      <c r="Z55" s="51" t="str">
        <f t="shared" si="22"/>
        <v>-</v>
      </c>
      <c r="AA55" s="51">
        <f t="shared" si="23"/>
        <v>0</v>
      </c>
      <c r="AB55" s="52"/>
      <c r="AC55" s="49"/>
      <c r="AD55" s="49"/>
      <c r="AE55" s="49"/>
      <c r="AF55" s="53"/>
    </row>
    <row r="56" spans="1:32" x14ac:dyDescent="0.25">
      <c r="A56" s="35">
        <v>49</v>
      </c>
      <c r="B56" s="73">
        <v>0.625</v>
      </c>
      <c r="C56" s="36">
        <v>0.625</v>
      </c>
      <c r="D56" s="83"/>
      <c r="E56" s="38"/>
      <c r="F56" s="38">
        <f>IF('計画数(10分毎)'!$M$2=A56,'計画数(10分毎)'!$P$2,0)</f>
        <v>0</v>
      </c>
      <c r="G56" s="38" t="str">
        <f t="shared" si="12"/>
        <v>-</v>
      </c>
      <c r="H56" s="38" t="str">
        <f t="shared" si="13"/>
        <v>-</v>
      </c>
      <c r="I56" s="39" t="str">
        <f>IF(H56&lt;&gt;"-",H56*60/'計画数(10分毎)'!$I$2*80%,"-")</f>
        <v>-</v>
      </c>
      <c r="J56" s="38">
        <f>IF('計画数(10分毎)'!$M$3=A56,'計画数(10分毎)'!$P$3,0)</f>
        <v>0</v>
      </c>
      <c r="K56" s="38" t="str">
        <f t="shared" si="14"/>
        <v>-</v>
      </c>
      <c r="L56" s="38" t="str">
        <f t="shared" si="15"/>
        <v>-</v>
      </c>
      <c r="M56" s="39" t="str">
        <f>IF(L56&lt;&gt;"-",L56*60/'計画数(10分毎)'!$I$3*80%,"-")</f>
        <v>-</v>
      </c>
      <c r="N56" s="38">
        <f>IF('計画数(10分毎)'!$M$4=A56,'計画数(10分毎)'!$P$4,0)</f>
        <v>0</v>
      </c>
      <c r="O56" s="38" t="str">
        <f t="shared" si="16"/>
        <v>-</v>
      </c>
      <c r="P56" s="38" t="str">
        <f t="shared" si="17"/>
        <v>-</v>
      </c>
      <c r="Q56" s="39" t="str">
        <f>IF(P56&lt;&gt;"-",P56*60/'計画数(10分毎)'!$I$4*80%,"-")</f>
        <v>-</v>
      </c>
      <c r="R56" s="38">
        <f>IF('計画数(10分毎)'!$M$5=A56,'計画数(10分毎)'!$P$5,0)</f>
        <v>0</v>
      </c>
      <c r="S56" s="38" t="str">
        <f t="shared" si="18"/>
        <v>-</v>
      </c>
      <c r="T56" s="38" t="str">
        <f t="shared" si="19"/>
        <v>-</v>
      </c>
      <c r="U56" s="39" t="str">
        <f>IF(T56&lt;&gt;"-",T56*60/'計画数(10分毎)'!$I$5*80%,"-")</f>
        <v>-</v>
      </c>
      <c r="V56" s="38">
        <f>IF('計画数(10分毎)'!$M$6=A56,'計画数(10分毎)'!$P$6,0)</f>
        <v>0</v>
      </c>
      <c r="W56" s="38" t="str">
        <f t="shared" si="20"/>
        <v>-</v>
      </c>
      <c r="X56" s="38" t="str">
        <f t="shared" si="21"/>
        <v>-</v>
      </c>
      <c r="Y56" s="39" t="str">
        <f>IF(X56&lt;&gt;"-",X56*60/'計画数(10分毎)'!$I$6*80%,"-")</f>
        <v>-</v>
      </c>
      <c r="Z56" s="39" t="str">
        <f t="shared" si="22"/>
        <v>-</v>
      </c>
      <c r="AA56" s="39">
        <f t="shared" si="23"/>
        <v>0</v>
      </c>
      <c r="AB56" s="40"/>
      <c r="AC56" s="38"/>
      <c r="AD56" s="38"/>
      <c r="AE56" s="38"/>
      <c r="AF56" s="41"/>
    </row>
    <row r="57" spans="1:32" x14ac:dyDescent="0.25">
      <c r="A57" s="35">
        <v>50</v>
      </c>
      <c r="B57" s="74"/>
      <c r="C57" s="42">
        <v>0.63194444444444442</v>
      </c>
      <c r="D57" s="80"/>
      <c r="E57" s="44"/>
      <c r="F57" s="44">
        <f>IF('計画数(10分毎)'!$M$2=A57,'計画数(10分毎)'!$P$2,0)</f>
        <v>0</v>
      </c>
      <c r="G57" s="44" t="str">
        <f t="shared" si="12"/>
        <v>-</v>
      </c>
      <c r="H57" s="44" t="str">
        <f t="shared" si="13"/>
        <v>-</v>
      </c>
      <c r="I57" s="45" t="str">
        <f>IF(H57&lt;&gt;"-",H57*60/'計画数(10分毎)'!$I$2*80%,"-")</f>
        <v>-</v>
      </c>
      <c r="J57" s="44">
        <f>IF('計画数(10分毎)'!$M$3=A57,'計画数(10分毎)'!$P$3,0)</f>
        <v>0</v>
      </c>
      <c r="K57" s="44" t="str">
        <f t="shared" si="14"/>
        <v>-</v>
      </c>
      <c r="L57" s="44" t="str">
        <f t="shared" si="15"/>
        <v>-</v>
      </c>
      <c r="M57" s="45" t="str">
        <f>IF(L57&lt;&gt;"-",L57*60/'計画数(10分毎)'!$I$3*80%,"-")</f>
        <v>-</v>
      </c>
      <c r="N57" s="44">
        <f>IF('計画数(10分毎)'!$M$4=A57,'計画数(10分毎)'!$P$4,0)</f>
        <v>0</v>
      </c>
      <c r="O57" s="44" t="str">
        <f t="shared" si="16"/>
        <v>-</v>
      </c>
      <c r="P57" s="44" t="str">
        <f t="shared" si="17"/>
        <v>-</v>
      </c>
      <c r="Q57" s="45" t="str">
        <f>IF(P57&lt;&gt;"-",P57*60/'計画数(10分毎)'!$I$4*80%,"-")</f>
        <v>-</v>
      </c>
      <c r="R57" s="44">
        <f>IF('計画数(10分毎)'!$M$5=A57,'計画数(10分毎)'!$P$5,0)</f>
        <v>0</v>
      </c>
      <c r="S57" s="44" t="str">
        <f t="shared" si="18"/>
        <v>-</v>
      </c>
      <c r="T57" s="44" t="str">
        <f t="shared" si="19"/>
        <v>-</v>
      </c>
      <c r="U57" s="45" t="str">
        <f>IF(T57&lt;&gt;"-",T57*60/'計画数(10分毎)'!$I$5*80%,"-")</f>
        <v>-</v>
      </c>
      <c r="V57" s="44">
        <f>IF('計画数(10分毎)'!$M$6=A57,'計画数(10分毎)'!$P$6,0)</f>
        <v>0</v>
      </c>
      <c r="W57" s="44" t="str">
        <f t="shared" si="20"/>
        <v>-</v>
      </c>
      <c r="X57" s="44" t="str">
        <f t="shared" si="21"/>
        <v>-</v>
      </c>
      <c r="Y57" s="45" t="str">
        <f>IF(X57&lt;&gt;"-",X57*60/'計画数(10分毎)'!$I$6*80%,"-")</f>
        <v>-</v>
      </c>
      <c r="Z57" s="45" t="str">
        <f t="shared" si="22"/>
        <v>-</v>
      </c>
      <c r="AA57" s="45">
        <f t="shared" si="23"/>
        <v>0</v>
      </c>
      <c r="AB57" s="46"/>
      <c r="AC57" s="44"/>
      <c r="AD57" s="44"/>
      <c r="AE57" s="44"/>
      <c r="AF57" s="47"/>
    </row>
    <row r="58" spans="1:32" x14ac:dyDescent="0.25">
      <c r="A58" s="35">
        <v>51</v>
      </c>
      <c r="B58" s="74"/>
      <c r="C58" s="48">
        <v>0.63888888888888895</v>
      </c>
      <c r="D58" s="81"/>
      <c r="E58" s="49"/>
      <c r="F58" s="50">
        <f>IF('計画数(10分毎)'!$M$2=A58,'計画数(10分毎)'!$P$2,0)</f>
        <v>0</v>
      </c>
      <c r="G58" s="50" t="str">
        <f t="shared" si="12"/>
        <v>-</v>
      </c>
      <c r="H58" s="50" t="str">
        <f t="shared" si="13"/>
        <v>-</v>
      </c>
      <c r="I58" s="51" t="str">
        <f>IF(H58&lt;&gt;"-",H58*60/'計画数(10分毎)'!$I$2*80%,"-")</f>
        <v>-</v>
      </c>
      <c r="J58" s="50">
        <f>IF('計画数(10分毎)'!$M$3=A58,'計画数(10分毎)'!$P$3,0)</f>
        <v>0</v>
      </c>
      <c r="K58" s="50" t="str">
        <f t="shared" si="14"/>
        <v>-</v>
      </c>
      <c r="L58" s="50" t="str">
        <f t="shared" si="15"/>
        <v>-</v>
      </c>
      <c r="M58" s="51" t="str">
        <f>IF(L58&lt;&gt;"-",L58*60/'計画数(10分毎)'!$I$3*80%,"-")</f>
        <v>-</v>
      </c>
      <c r="N58" s="50">
        <f>IF('計画数(10分毎)'!$M$4=A58,'計画数(10分毎)'!$P$4,0)</f>
        <v>0</v>
      </c>
      <c r="O58" s="50" t="str">
        <f t="shared" si="16"/>
        <v>-</v>
      </c>
      <c r="P58" s="50" t="str">
        <f t="shared" si="17"/>
        <v>-</v>
      </c>
      <c r="Q58" s="51" t="str">
        <f>IF(P58&lt;&gt;"-",P58*60/'計画数(10分毎)'!$I$4*80%,"-")</f>
        <v>-</v>
      </c>
      <c r="R58" s="50">
        <f>IF('計画数(10分毎)'!$M$5=A58,'計画数(10分毎)'!$P$5,0)</f>
        <v>0</v>
      </c>
      <c r="S58" s="50" t="str">
        <f t="shared" si="18"/>
        <v>-</v>
      </c>
      <c r="T58" s="50" t="str">
        <f t="shared" si="19"/>
        <v>-</v>
      </c>
      <c r="U58" s="51" t="str">
        <f>IF(T58&lt;&gt;"-",T58*60/'計画数(10分毎)'!$I$5*80%,"-")</f>
        <v>-</v>
      </c>
      <c r="V58" s="50">
        <f>IF('計画数(10分毎)'!$M$6=A58,'計画数(10分毎)'!$P$6,0)</f>
        <v>0</v>
      </c>
      <c r="W58" s="50" t="str">
        <f t="shared" si="20"/>
        <v>-</v>
      </c>
      <c r="X58" s="50" t="str">
        <f t="shared" si="21"/>
        <v>-</v>
      </c>
      <c r="Y58" s="51" t="str">
        <f>IF(X58&lt;&gt;"-",X58*60/'計画数(10分毎)'!$I$6*80%,"-")</f>
        <v>-</v>
      </c>
      <c r="Z58" s="51" t="str">
        <f t="shared" si="22"/>
        <v>-</v>
      </c>
      <c r="AA58" s="51">
        <f t="shared" si="23"/>
        <v>0</v>
      </c>
      <c r="AB58" s="52"/>
      <c r="AC58" s="49"/>
      <c r="AD58" s="49"/>
      <c r="AE58" s="49"/>
      <c r="AF58" s="53"/>
    </row>
    <row r="59" spans="1:32" x14ac:dyDescent="0.25">
      <c r="A59" s="35">
        <v>52</v>
      </c>
      <c r="B59" s="74"/>
      <c r="C59" s="42">
        <v>0.64583333333333337</v>
      </c>
      <c r="D59" s="79"/>
      <c r="E59" s="38"/>
      <c r="F59" s="38">
        <f>IF('計画数(10分毎)'!$M$2=A59,'計画数(10分毎)'!$P$2,0)</f>
        <v>0</v>
      </c>
      <c r="G59" s="38" t="str">
        <f t="shared" si="12"/>
        <v>-</v>
      </c>
      <c r="H59" s="38" t="str">
        <f t="shared" si="13"/>
        <v>-</v>
      </c>
      <c r="I59" s="39" t="str">
        <f>IF(H59&lt;&gt;"-",H59*60/'計画数(10分毎)'!$I$2*80%,"-")</f>
        <v>-</v>
      </c>
      <c r="J59" s="38">
        <f>IF('計画数(10分毎)'!$M$3=A59,'計画数(10分毎)'!$P$3,0)</f>
        <v>0</v>
      </c>
      <c r="K59" s="38" t="str">
        <f t="shared" si="14"/>
        <v>-</v>
      </c>
      <c r="L59" s="38" t="str">
        <f t="shared" si="15"/>
        <v>-</v>
      </c>
      <c r="M59" s="39" t="str">
        <f>IF(L59&lt;&gt;"-",L59*60/'計画数(10分毎)'!$I$3*80%,"-")</f>
        <v>-</v>
      </c>
      <c r="N59" s="38">
        <f>IF('計画数(10分毎)'!$M$4=A59,'計画数(10分毎)'!$P$4,0)</f>
        <v>0</v>
      </c>
      <c r="O59" s="38" t="str">
        <f t="shared" si="16"/>
        <v>-</v>
      </c>
      <c r="P59" s="38" t="str">
        <f t="shared" si="17"/>
        <v>-</v>
      </c>
      <c r="Q59" s="39" t="str">
        <f>IF(P59&lt;&gt;"-",P59*60/'計画数(10分毎)'!$I$4*80%,"-")</f>
        <v>-</v>
      </c>
      <c r="R59" s="38">
        <f>IF('計画数(10分毎)'!$M$5=A59,'計画数(10分毎)'!$P$5,0)</f>
        <v>0</v>
      </c>
      <c r="S59" s="38" t="str">
        <f t="shared" si="18"/>
        <v>-</v>
      </c>
      <c r="T59" s="38" t="str">
        <f t="shared" si="19"/>
        <v>-</v>
      </c>
      <c r="U59" s="39" t="str">
        <f>IF(T59&lt;&gt;"-",T59*60/'計画数(10分毎)'!$I$5*80%,"-")</f>
        <v>-</v>
      </c>
      <c r="V59" s="38">
        <f>IF('計画数(10分毎)'!$M$6=A59,'計画数(10分毎)'!$P$6,0)</f>
        <v>0</v>
      </c>
      <c r="W59" s="38" t="str">
        <f t="shared" si="20"/>
        <v>-</v>
      </c>
      <c r="X59" s="38" t="str">
        <f t="shared" si="21"/>
        <v>-</v>
      </c>
      <c r="Y59" s="39" t="str">
        <f>IF(X59&lt;&gt;"-",X59*60/'計画数(10分毎)'!$I$6*80%,"-")</f>
        <v>-</v>
      </c>
      <c r="Z59" s="39" t="str">
        <f t="shared" si="22"/>
        <v>-</v>
      </c>
      <c r="AA59" s="39">
        <f t="shared" si="23"/>
        <v>0</v>
      </c>
      <c r="AB59" s="40"/>
      <c r="AC59" s="38"/>
      <c r="AD59" s="38"/>
      <c r="AE59" s="38"/>
      <c r="AF59" s="41"/>
    </row>
    <row r="60" spans="1:32" x14ac:dyDescent="0.25">
      <c r="A60" s="35">
        <v>53</v>
      </c>
      <c r="B60" s="74"/>
      <c r="C60" s="57">
        <v>0.65277777777777779</v>
      </c>
      <c r="D60" s="88" t="s">
        <v>11</v>
      </c>
      <c r="E60" s="44"/>
      <c r="F60" s="44">
        <f>IF('計画数(10分毎)'!$M$2=A60,'計画数(10分毎)'!$P$2,0)</f>
        <v>0</v>
      </c>
      <c r="G60" s="44" t="str">
        <f t="shared" si="12"/>
        <v>-</v>
      </c>
      <c r="H60" s="44" t="str">
        <f t="shared" si="13"/>
        <v>-</v>
      </c>
      <c r="I60" s="45" t="str">
        <f>IF(H60&lt;&gt;"-",H60*60/'計画数(10分毎)'!$I$2*80%,"-")</f>
        <v>-</v>
      </c>
      <c r="J60" s="44">
        <f>IF('計画数(10分毎)'!$M$3=A60,'計画数(10分毎)'!$P$3,0)</f>
        <v>0</v>
      </c>
      <c r="K60" s="44" t="str">
        <f t="shared" si="14"/>
        <v>-</v>
      </c>
      <c r="L60" s="44" t="str">
        <f t="shared" si="15"/>
        <v>-</v>
      </c>
      <c r="M60" s="45" t="str">
        <f>IF(L60&lt;&gt;"-",L60*60/'計画数(10分毎)'!$I$3*80%,"-")</f>
        <v>-</v>
      </c>
      <c r="N60" s="44">
        <f>IF('計画数(10分毎)'!$M$4=A60,'計画数(10分毎)'!$P$4,0)</f>
        <v>0</v>
      </c>
      <c r="O60" s="44" t="str">
        <f t="shared" si="16"/>
        <v>-</v>
      </c>
      <c r="P60" s="44" t="str">
        <f t="shared" si="17"/>
        <v>-</v>
      </c>
      <c r="Q60" s="45" t="str">
        <f>IF(P60&lt;&gt;"-",P60*60/'計画数(10分毎)'!$I$4*80%,"-")</f>
        <v>-</v>
      </c>
      <c r="R60" s="44">
        <f>IF('計画数(10分毎)'!$M$5=A60,'計画数(10分毎)'!$P$5,0)</f>
        <v>0</v>
      </c>
      <c r="S60" s="44" t="str">
        <f t="shared" si="18"/>
        <v>-</v>
      </c>
      <c r="T60" s="44" t="str">
        <f t="shared" si="19"/>
        <v>-</v>
      </c>
      <c r="U60" s="45" t="str">
        <f>IF(T60&lt;&gt;"-",T60*60/'計画数(10分毎)'!$I$5*80%,"-")</f>
        <v>-</v>
      </c>
      <c r="V60" s="44">
        <f>IF('計画数(10分毎)'!$M$6=A60,'計画数(10分毎)'!$P$6,0)</f>
        <v>0</v>
      </c>
      <c r="W60" s="44" t="str">
        <f t="shared" si="20"/>
        <v>-</v>
      </c>
      <c r="X60" s="44" t="str">
        <f t="shared" si="21"/>
        <v>-</v>
      </c>
      <c r="Y60" s="45" t="str">
        <f>IF(X60&lt;&gt;"-",X60*60/'計画数(10分毎)'!$I$6*80%,"-")</f>
        <v>-</v>
      </c>
      <c r="Z60" s="45" t="str">
        <f t="shared" si="22"/>
        <v>-</v>
      </c>
      <c r="AA60" s="45">
        <f t="shared" si="23"/>
        <v>0</v>
      </c>
      <c r="AB60" s="46"/>
      <c r="AC60" s="44"/>
      <c r="AD60" s="44"/>
      <c r="AE60" s="44"/>
      <c r="AF60" s="47"/>
    </row>
    <row r="61" spans="1:32" x14ac:dyDescent="0.25">
      <c r="A61" s="35">
        <v>54</v>
      </c>
      <c r="B61" s="75"/>
      <c r="C61" s="42">
        <v>0.65972222222222221</v>
      </c>
      <c r="D61" s="82"/>
      <c r="E61" s="49"/>
      <c r="F61" s="50">
        <f>IF('計画数(10分毎)'!$M$2=A61,'計画数(10分毎)'!$P$2,0)</f>
        <v>0</v>
      </c>
      <c r="G61" s="50" t="str">
        <f t="shared" si="12"/>
        <v>-</v>
      </c>
      <c r="H61" s="50" t="str">
        <f t="shared" si="13"/>
        <v>-</v>
      </c>
      <c r="I61" s="51" t="str">
        <f>IF(H61&lt;&gt;"-",H61*60/'計画数(10分毎)'!$I$2*80%,"-")</f>
        <v>-</v>
      </c>
      <c r="J61" s="50">
        <f>IF('計画数(10分毎)'!$M$3=A61,'計画数(10分毎)'!$P$3,0)</f>
        <v>0</v>
      </c>
      <c r="K61" s="50" t="str">
        <f t="shared" si="14"/>
        <v>-</v>
      </c>
      <c r="L61" s="50" t="str">
        <f t="shared" si="15"/>
        <v>-</v>
      </c>
      <c r="M61" s="51" t="str">
        <f>IF(L61&lt;&gt;"-",L61*60/'計画数(10分毎)'!$I$3*80%,"-")</f>
        <v>-</v>
      </c>
      <c r="N61" s="50">
        <f>IF('計画数(10分毎)'!$M$4=A61,'計画数(10分毎)'!$P$4,0)</f>
        <v>0</v>
      </c>
      <c r="O61" s="50" t="str">
        <f t="shared" si="16"/>
        <v>-</v>
      </c>
      <c r="P61" s="50" t="str">
        <f t="shared" si="17"/>
        <v>-</v>
      </c>
      <c r="Q61" s="51" t="str">
        <f>IF(P61&lt;&gt;"-",P61*60/'計画数(10分毎)'!$I$4*80%,"-")</f>
        <v>-</v>
      </c>
      <c r="R61" s="50">
        <f>IF('計画数(10分毎)'!$M$5=A61,'計画数(10分毎)'!$P$5,0)</f>
        <v>0</v>
      </c>
      <c r="S61" s="50" t="str">
        <f t="shared" si="18"/>
        <v>-</v>
      </c>
      <c r="T61" s="50" t="str">
        <f t="shared" si="19"/>
        <v>-</v>
      </c>
      <c r="U61" s="51" t="str">
        <f>IF(T61&lt;&gt;"-",T61*60/'計画数(10分毎)'!$I$5*80%,"-")</f>
        <v>-</v>
      </c>
      <c r="V61" s="50">
        <f>IF('計画数(10分毎)'!$M$6=A61,'計画数(10分毎)'!$P$6,0)</f>
        <v>0</v>
      </c>
      <c r="W61" s="50" t="str">
        <f t="shared" si="20"/>
        <v>-</v>
      </c>
      <c r="X61" s="50" t="str">
        <f t="shared" si="21"/>
        <v>-</v>
      </c>
      <c r="Y61" s="51" t="str">
        <f>IF(X61&lt;&gt;"-",X61*60/'計画数(10分毎)'!$I$6*80%,"-")</f>
        <v>-</v>
      </c>
      <c r="Z61" s="51" t="str">
        <f t="shared" si="22"/>
        <v>-</v>
      </c>
      <c r="AA61" s="51">
        <f t="shared" si="23"/>
        <v>0</v>
      </c>
      <c r="AB61" s="52"/>
      <c r="AC61" s="49"/>
      <c r="AD61" s="49"/>
      <c r="AE61" s="49"/>
      <c r="AF61" s="53"/>
    </row>
    <row r="62" spans="1:32" x14ac:dyDescent="0.25">
      <c r="A62" s="35">
        <v>55</v>
      </c>
      <c r="B62" s="73">
        <v>0.66666666666666696</v>
      </c>
      <c r="C62" s="36">
        <v>0.66666666666666663</v>
      </c>
      <c r="D62" s="83"/>
      <c r="E62" s="38"/>
      <c r="F62" s="38">
        <f>IF('計画数(10分毎)'!$M$2=A62,'計画数(10分毎)'!$P$2,0)</f>
        <v>0</v>
      </c>
      <c r="G62" s="38" t="str">
        <f t="shared" si="12"/>
        <v>-</v>
      </c>
      <c r="H62" s="38" t="str">
        <f t="shared" si="13"/>
        <v>-</v>
      </c>
      <c r="I62" s="39" t="str">
        <f>IF(H62&lt;&gt;"-",H62*60/'計画数(10分毎)'!$I$2*80%,"-")</f>
        <v>-</v>
      </c>
      <c r="J62" s="38">
        <f>IF('計画数(10分毎)'!$M$3=A62,'計画数(10分毎)'!$P$3,0)</f>
        <v>0</v>
      </c>
      <c r="K62" s="38" t="str">
        <f t="shared" si="14"/>
        <v>-</v>
      </c>
      <c r="L62" s="38" t="str">
        <f t="shared" si="15"/>
        <v>-</v>
      </c>
      <c r="M62" s="39" t="str">
        <f>IF(L62&lt;&gt;"-",L62*60/'計画数(10分毎)'!$I$3*80%,"-")</f>
        <v>-</v>
      </c>
      <c r="N62" s="38">
        <f>IF('計画数(10分毎)'!$M$4=A62,'計画数(10分毎)'!$P$4,0)</f>
        <v>0</v>
      </c>
      <c r="O62" s="38" t="str">
        <f t="shared" si="16"/>
        <v>-</v>
      </c>
      <c r="P62" s="38" t="str">
        <f t="shared" si="17"/>
        <v>-</v>
      </c>
      <c r="Q62" s="39" t="str">
        <f>IF(P62&lt;&gt;"-",P62*60/'計画数(10分毎)'!$I$4*80%,"-")</f>
        <v>-</v>
      </c>
      <c r="R62" s="38">
        <f>IF('計画数(10分毎)'!$M$5=A62,'計画数(10分毎)'!$P$5,0)</f>
        <v>0</v>
      </c>
      <c r="S62" s="38" t="str">
        <f t="shared" si="18"/>
        <v>-</v>
      </c>
      <c r="T62" s="38" t="str">
        <f t="shared" si="19"/>
        <v>-</v>
      </c>
      <c r="U62" s="39" t="str">
        <f>IF(T62&lt;&gt;"-",T62*60/'計画数(10分毎)'!$I$5*80%,"-")</f>
        <v>-</v>
      </c>
      <c r="V62" s="38">
        <f>IF('計画数(10分毎)'!$M$6=A62,'計画数(10分毎)'!$P$6,0)</f>
        <v>0</v>
      </c>
      <c r="W62" s="38" t="str">
        <f t="shared" si="20"/>
        <v>-</v>
      </c>
      <c r="X62" s="38" t="str">
        <f t="shared" si="21"/>
        <v>-</v>
      </c>
      <c r="Y62" s="39" t="str">
        <f>IF(X62&lt;&gt;"-",X62*60/'計画数(10分毎)'!$I$6*80%,"-")</f>
        <v>-</v>
      </c>
      <c r="Z62" s="39" t="str">
        <f t="shared" si="22"/>
        <v>-</v>
      </c>
      <c r="AA62" s="39">
        <f t="shared" si="23"/>
        <v>0</v>
      </c>
      <c r="AB62" s="40"/>
      <c r="AC62" s="38"/>
      <c r="AD62" s="38"/>
      <c r="AE62" s="38"/>
      <c r="AF62" s="41"/>
    </row>
    <row r="63" spans="1:32" x14ac:dyDescent="0.25">
      <c r="A63" s="35">
        <v>56</v>
      </c>
      <c r="B63" s="74"/>
      <c r="C63" s="42">
        <v>0.67361111111111116</v>
      </c>
      <c r="D63" s="80"/>
      <c r="E63" s="44"/>
      <c r="F63" s="44">
        <f>IF('計画数(10分毎)'!$M$2=A63,'計画数(10分毎)'!$P$2,0)</f>
        <v>0</v>
      </c>
      <c r="G63" s="44" t="str">
        <f t="shared" si="12"/>
        <v>-</v>
      </c>
      <c r="H63" s="44" t="str">
        <f t="shared" si="13"/>
        <v>-</v>
      </c>
      <c r="I63" s="45" t="str">
        <f>IF(H63&lt;&gt;"-",H63*60/'計画数(10分毎)'!$I$2*80%,"-")</f>
        <v>-</v>
      </c>
      <c r="J63" s="44">
        <f>IF('計画数(10分毎)'!$M$3=A63,'計画数(10分毎)'!$P$3,0)</f>
        <v>0</v>
      </c>
      <c r="K63" s="44" t="str">
        <f t="shared" si="14"/>
        <v>-</v>
      </c>
      <c r="L63" s="44" t="str">
        <f t="shared" si="15"/>
        <v>-</v>
      </c>
      <c r="M63" s="45" t="str">
        <f>IF(L63&lt;&gt;"-",L63*60/'計画数(10分毎)'!$I$3*80%,"-")</f>
        <v>-</v>
      </c>
      <c r="N63" s="44">
        <f>IF('計画数(10分毎)'!$M$4=A63,'計画数(10分毎)'!$P$4,0)</f>
        <v>0</v>
      </c>
      <c r="O63" s="44" t="str">
        <f t="shared" si="16"/>
        <v>-</v>
      </c>
      <c r="P63" s="44" t="str">
        <f t="shared" si="17"/>
        <v>-</v>
      </c>
      <c r="Q63" s="45" t="str">
        <f>IF(P63&lt;&gt;"-",P63*60/'計画数(10分毎)'!$I$4*80%,"-")</f>
        <v>-</v>
      </c>
      <c r="R63" s="44">
        <f>IF('計画数(10分毎)'!$M$5=A63,'計画数(10分毎)'!$P$5,0)</f>
        <v>0</v>
      </c>
      <c r="S63" s="44" t="str">
        <f t="shared" si="18"/>
        <v>-</v>
      </c>
      <c r="T63" s="44" t="str">
        <f t="shared" si="19"/>
        <v>-</v>
      </c>
      <c r="U63" s="45" t="str">
        <f>IF(T63&lt;&gt;"-",T63*60/'計画数(10分毎)'!$I$5*80%,"-")</f>
        <v>-</v>
      </c>
      <c r="V63" s="44">
        <f>IF('計画数(10分毎)'!$M$6=A63,'計画数(10分毎)'!$P$6,0)</f>
        <v>0</v>
      </c>
      <c r="W63" s="44" t="str">
        <f t="shared" si="20"/>
        <v>-</v>
      </c>
      <c r="X63" s="44" t="str">
        <f t="shared" si="21"/>
        <v>-</v>
      </c>
      <c r="Y63" s="45" t="str">
        <f>IF(X63&lt;&gt;"-",X63*60/'計画数(10分毎)'!$I$6*80%,"-")</f>
        <v>-</v>
      </c>
      <c r="Z63" s="45" t="str">
        <f t="shared" si="22"/>
        <v>-</v>
      </c>
      <c r="AA63" s="45">
        <f t="shared" si="23"/>
        <v>0</v>
      </c>
      <c r="AB63" s="46"/>
      <c r="AC63" s="44"/>
      <c r="AD63" s="44"/>
      <c r="AE63" s="44"/>
      <c r="AF63" s="47"/>
    </row>
    <row r="64" spans="1:32" x14ac:dyDescent="0.25">
      <c r="A64" s="35">
        <v>57</v>
      </c>
      <c r="B64" s="74"/>
      <c r="C64" s="48">
        <v>0.68055555555555547</v>
      </c>
      <c r="D64" s="81"/>
      <c r="E64" s="49"/>
      <c r="F64" s="50">
        <f>IF('計画数(10分毎)'!$M$2=A64,'計画数(10分毎)'!$P$2,0)</f>
        <v>0</v>
      </c>
      <c r="G64" s="50" t="str">
        <f t="shared" si="12"/>
        <v>-</v>
      </c>
      <c r="H64" s="50" t="str">
        <f t="shared" si="13"/>
        <v>-</v>
      </c>
      <c r="I64" s="51" t="str">
        <f>IF(H64&lt;&gt;"-",H64*60/'計画数(10分毎)'!$I$2*80%,"-")</f>
        <v>-</v>
      </c>
      <c r="J64" s="50">
        <f>IF('計画数(10分毎)'!$M$3=A64,'計画数(10分毎)'!$P$3,0)</f>
        <v>0</v>
      </c>
      <c r="K64" s="50" t="str">
        <f t="shared" si="14"/>
        <v>-</v>
      </c>
      <c r="L64" s="50" t="str">
        <f t="shared" si="15"/>
        <v>-</v>
      </c>
      <c r="M64" s="51" t="str">
        <f>IF(L64&lt;&gt;"-",L64*60/'計画数(10分毎)'!$I$3*80%,"-")</f>
        <v>-</v>
      </c>
      <c r="N64" s="50">
        <f>IF('計画数(10分毎)'!$M$4=A64,'計画数(10分毎)'!$P$4,0)</f>
        <v>0</v>
      </c>
      <c r="O64" s="50" t="str">
        <f t="shared" si="16"/>
        <v>-</v>
      </c>
      <c r="P64" s="50" t="str">
        <f t="shared" si="17"/>
        <v>-</v>
      </c>
      <c r="Q64" s="51" t="str">
        <f>IF(P64&lt;&gt;"-",P64*60/'計画数(10分毎)'!$I$4*80%,"-")</f>
        <v>-</v>
      </c>
      <c r="R64" s="50">
        <f>IF('計画数(10分毎)'!$M$5=A64,'計画数(10分毎)'!$P$5,0)</f>
        <v>0</v>
      </c>
      <c r="S64" s="50" t="str">
        <f t="shared" si="18"/>
        <v>-</v>
      </c>
      <c r="T64" s="50" t="str">
        <f t="shared" si="19"/>
        <v>-</v>
      </c>
      <c r="U64" s="51" t="str">
        <f>IF(T64&lt;&gt;"-",T64*60/'計画数(10分毎)'!$I$5*80%,"-")</f>
        <v>-</v>
      </c>
      <c r="V64" s="50">
        <f>IF('計画数(10分毎)'!$M$6=A64,'計画数(10分毎)'!$P$6,0)</f>
        <v>0</v>
      </c>
      <c r="W64" s="50" t="str">
        <f t="shared" si="20"/>
        <v>-</v>
      </c>
      <c r="X64" s="50" t="str">
        <f t="shared" si="21"/>
        <v>-</v>
      </c>
      <c r="Y64" s="51" t="str">
        <f>IF(X64&lt;&gt;"-",X64*60/'計画数(10分毎)'!$I$6*80%,"-")</f>
        <v>-</v>
      </c>
      <c r="Z64" s="51" t="str">
        <f t="shared" si="22"/>
        <v>-</v>
      </c>
      <c r="AA64" s="51">
        <f t="shared" si="23"/>
        <v>0</v>
      </c>
      <c r="AB64" s="52"/>
      <c r="AC64" s="49"/>
      <c r="AD64" s="49"/>
      <c r="AE64" s="49"/>
      <c r="AF64" s="53"/>
    </row>
    <row r="65" spans="1:32" x14ac:dyDescent="0.25">
      <c r="A65" s="35">
        <v>58</v>
      </c>
      <c r="B65" s="74"/>
      <c r="C65" s="42">
        <v>0.6875</v>
      </c>
      <c r="D65" s="79"/>
      <c r="E65" s="38"/>
      <c r="F65" s="38">
        <f>IF('計画数(10分毎)'!$M$2=A65,'計画数(10分毎)'!$P$2,0)</f>
        <v>0</v>
      </c>
      <c r="G65" s="38" t="str">
        <f t="shared" si="12"/>
        <v>-</v>
      </c>
      <c r="H65" s="38" t="str">
        <f t="shared" si="13"/>
        <v>-</v>
      </c>
      <c r="I65" s="39" t="str">
        <f>IF(H65&lt;&gt;"-",H65*60/'計画数(10分毎)'!$I$2*80%,"-")</f>
        <v>-</v>
      </c>
      <c r="J65" s="38">
        <f>IF('計画数(10分毎)'!$M$3=A65,'計画数(10分毎)'!$P$3,0)</f>
        <v>0</v>
      </c>
      <c r="K65" s="38" t="str">
        <f t="shared" si="14"/>
        <v>-</v>
      </c>
      <c r="L65" s="38" t="str">
        <f t="shared" si="15"/>
        <v>-</v>
      </c>
      <c r="M65" s="39" t="str">
        <f>IF(L65&lt;&gt;"-",L65*60/'計画数(10分毎)'!$I$3*80%,"-")</f>
        <v>-</v>
      </c>
      <c r="N65" s="38">
        <f>IF('計画数(10分毎)'!$M$4=A65,'計画数(10分毎)'!$P$4,0)</f>
        <v>0</v>
      </c>
      <c r="O65" s="38" t="str">
        <f t="shared" si="16"/>
        <v>-</v>
      </c>
      <c r="P65" s="38" t="str">
        <f t="shared" si="17"/>
        <v>-</v>
      </c>
      <c r="Q65" s="39" t="str">
        <f>IF(P65&lt;&gt;"-",P65*60/'計画数(10分毎)'!$I$4*80%,"-")</f>
        <v>-</v>
      </c>
      <c r="R65" s="38">
        <f>IF('計画数(10分毎)'!$M$5=A65,'計画数(10分毎)'!$P$5,0)</f>
        <v>0</v>
      </c>
      <c r="S65" s="38" t="str">
        <f t="shared" si="18"/>
        <v>-</v>
      </c>
      <c r="T65" s="38" t="str">
        <f t="shared" si="19"/>
        <v>-</v>
      </c>
      <c r="U65" s="39" t="str">
        <f>IF(T65&lt;&gt;"-",T65*60/'計画数(10分毎)'!$I$5*80%,"-")</f>
        <v>-</v>
      </c>
      <c r="V65" s="38">
        <f>IF('計画数(10分毎)'!$M$6=A65,'計画数(10分毎)'!$P$6,0)</f>
        <v>0</v>
      </c>
      <c r="W65" s="38" t="str">
        <f t="shared" si="20"/>
        <v>-</v>
      </c>
      <c r="X65" s="38" t="str">
        <f t="shared" si="21"/>
        <v>-</v>
      </c>
      <c r="Y65" s="39" t="str">
        <f>IF(X65&lt;&gt;"-",X65*60/'計画数(10分毎)'!$I$6*80%,"-")</f>
        <v>-</v>
      </c>
      <c r="Z65" s="39" t="str">
        <f t="shared" si="22"/>
        <v>-</v>
      </c>
      <c r="AA65" s="39">
        <f t="shared" si="23"/>
        <v>0</v>
      </c>
      <c r="AB65" s="40"/>
      <c r="AC65" s="38"/>
      <c r="AD65" s="38"/>
      <c r="AE65" s="38"/>
      <c r="AF65" s="41"/>
    </row>
    <row r="66" spans="1:32" x14ac:dyDescent="0.25">
      <c r="A66" s="35">
        <v>59</v>
      </c>
      <c r="B66" s="74"/>
      <c r="C66" s="42">
        <v>0.69444444444444453</v>
      </c>
      <c r="D66" s="80"/>
      <c r="E66" s="44"/>
      <c r="F66" s="44">
        <f>IF('計画数(10分毎)'!$M$2=A66,'計画数(10分毎)'!$P$2,0)</f>
        <v>0</v>
      </c>
      <c r="G66" s="44" t="str">
        <f t="shared" si="12"/>
        <v>-</v>
      </c>
      <c r="H66" s="44" t="str">
        <f t="shared" si="13"/>
        <v>-</v>
      </c>
      <c r="I66" s="45" t="str">
        <f>IF(H66&lt;&gt;"-",H66*60/'計画数(10分毎)'!$I$2*80%,"-")</f>
        <v>-</v>
      </c>
      <c r="J66" s="44">
        <f>IF('計画数(10分毎)'!$M$3=A66,'計画数(10分毎)'!$P$3,0)</f>
        <v>0</v>
      </c>
      <c r="K66" s="44" t="str">
        <f t="shared" si="14"/>
        <v>-</v>
      </c>
      <c r="L66" s="44" t="str">
        <f t="shared" si="15"/>
        <v>-</v>
      </c>
      <c r="M66" s="45" t="str">
        <f>IF(L66&lt;&gt;"-",L66*60/'計画数(10分毎)'!$I$3*80%,"-")</f>
        <v>-</v>
      </c>
      <c r="N66" s="44">
        <f>IF('計画数(10分毎)'!$M$4=A66,'計画数(10分毎)'!$P$4,0)</f>
        <v>0</v>
      </c>
      <c r="O66" s="44" t="str">
        <f t="shared" si="16"/>
        <v>-</v>
      </c>
      <c r="P66" s="44" t="str">
        <f t="shared" si="17"/>
        <v>-</v>
      </c>
      <c r="Q66" s="45" t="str">
        <f>IF(P66&lt;&gt;"-",P66*60/'計画数(10分毎)'!$I$4*80%,"-")</f>
        <v>-</v>
      </c>
      <c r="R66" s="44">
        <f>IF('計画数(10分毎)'!$M$5=A66,'計画数(10分毎)'!$P$5,0)</f>
        <v>0</v>
      </c>
      <c r="S66" s="44" t="str">
        <f t="shared" si="18"/>
        <v>-</v>
      </c>
      <c r="T66" s="44" t="str">
        <f t="shared" si="19"/>
        <v>-</v>
      </c>
      <c r="U66" s="45" t="str">
        <f>IF(T66&lt;&gt;"-",T66*60/'計画数(10分毎)'!$I$5*80%,"-")</f>
        <v>-</v>
      </c>
      <c r="V66" s="44">
        <f>IF('計画数(10分毎)'!$M$6=A66,'計画数(10分毎)'!$P$6,0)</f>
        <v>0</v>
      </c>
      <c r="W66" s="44" t="str">
        <f t="shared" si="20"/>
        <v>-</v>
      </c>
      <c r="X66" s="44" t="str">
        <f t="shared" si="21"/>
        <v>-</v>
      </c>
      <c r="Y66" s="45" t="str">
        <f>IF(X66&lt;&gt;"-",X66*60/'計画数(10分毎)'!$I$6*80%,"-")</f>
        <v>-</v>
      </c>
      <c r="Z66" s="45" t="str">
        <f t="shared" si="22"/>
        <v>-</v>
      </c>
      <c r="AA66" s="45">
        <f t="shared" si="23"/>
        <v>0</v>
      </c>
      <c r="AB66" s="46"/>
      <c r="AC66" s="44"/>
      <c r="AD66" s="44"/>
      <c r="AE66" s="44"/>
      <c r="AF66" s="47"/>
    </row>
    <row r="67" spans="1:32" x14ac:dyDescent="0.25">
      <c r="A67" s="35">
        <v>60</v>
      </c>
      <c r="B67" s="75"/>
      <c r="C67" s="42">
        <v>0.70138888888888884</v>
      </c>
      <c r="D67" s="82"/>
      <c r="E67" s="49"/>
      <c r="F67" s="50">
        <f>IF('計画数(10分毎)'!$M$2=A67,'計画数(10分毎)'!$P$2,0)</f>
        <v>0</v>
      </c>
      <c r="G67" s="50" t="str">
        <f t="shared" si="12"/>
        <v>-</v>
      </c>
      <c r="H67" s="50" t="str">
        <f t="shared" si="13"/>
        <v>-</v>
      </c>
      <c r="I67" s="51" t="str">
        <f>IF(H67&lt;&gt;"-",H67*60/'計画数(10分毎)'!$I$2*80%,"-")</f>
        <v>-</v>
      </c>
      <c r="J67" s="50">
        <f>IF('計画数(10分毎)'!$M$3=A67,'計画数(10分毎)'!$P$3,0)</f>
        <v>0</v>
      </c>
      <c r="K67" s="50" t="str">
        <f t="shared" si="14"/>
        <v>-</v>
      </c>
      <c r="L67" s="50" t="str">
        <f t="shared" si="15"/>
        <v>-</v>
      </c>
      <c r="M67" s="51" t="str">
        <f>IF(L67&lt;&gt;"-",L67*60/'計画数(10分毎)'!$I$3*80%,"-")</f>
        <v>-</v>
      </c>
      <c r="N67" s="50">
        <f>IF('計画数(10分毎)'!$M$4=A67,'計画数(10分毎)'!$P$4,0)</f>
        <v>0</v>
      </c>
      <c r="O67" s="50" t="str">
        <f t="shared" si="16"/>
        <v>-</v>
      </c>
      <c r="P67" s="50" t="str">
        <f t="shared" si="17"/>
        <v>-</v>
      </c>
      <c r="Q67" s="51" t="str">
        <f>IF(P67&lt;&gt;"-",P67*60/'計画数(10分毎)'!$I$4*80%,"-")</f>
        <v>-</v>
      </c>
      <c r="R67" s="50">
        <f>IF('計画数(10分毎)'!$M$5=A67,'計画数(10分毎)'!$P$5,0)</f>
        <v>0</v>
      </c>
      <c r="S67" s="50" t="str">
        <f t="shared" si="18"/>
        <v>-</v>
      </c>
      <c r="T67" s="50" t="str">
        <f t="shared" si="19"/>
        <v>-</v>
      </c>
      <c r="U67" s="51" t="str">
        <f>IF(T67&lt;&gt;"-",T67*60/'計画数(10分毎)'!$I$5*80%,"-")</f>
        <v>-</v>
      </c>
      <c r="V67" s="50">
        <f>IF('計画数(10分毎)'!$M$6=A67,'計画数(10分毎)'!$P$6,0)</f>
        <v>0</v>
      </c>
      <c r="W67" s="50" t="str">
        <f t="shared" si="20"/>
        <v>-</v>
      </c>
      <c r="X67" s="50" t="str">
        <f t="shared" si="21"/>
        <v>-</v>
      </c>
      <c r="Y67" s="51" t="str">
        <f>IF(X67&lt;&gt;"-",X67*60/'計画数(10分毎)'!$I$6*80%,"-")</f>
        <v>-</v>
      </c>
      <c r="Z67" s="51" t="str">
        <f t="shared" si="22"/>
        <v>-</v>
      </c>
      <c r="AA67" s="51">
        <f t="shared" si="23"/>
        <v>0</v>
      </c>
      <c r="AB67" s="52"/>
      <c r="AC67" s="49"/>
      <c r="AD67" s="49"/>
      <c r="AE67" s="49"/>
      <c r="AF67" s="53"/>
    </row>
    <row r="68" spans="1:32" x14ac:dyDescent="0.25">
      <c r="A68" s="35">
        <v>61</v>
      </c>
      <c r="B68" s="73">
        <v>0.70833333333333304</v>
      </c>
      <c r="C68" s="36">
        <v>0.70833333333333337</v>
      </c>
      <c r="D68" s="83"/>
      <c r="E68" s="38"/>
      <c r="F68" s="38">
        <f>IF('計画数(10分毎)'!$M$2=A68,'計画数(10分毎)'!$P$2,0)</f>
        <v>0</v>
      </c>
      <c r="G68" s="38" t="str">
        <f t="shared" si="12"/>
        <v>-</v>
      </c>
      <c r="H68" s="38" t="str">
        <f t="shared" si="13"/>
        <v>-</v>
      </c>
      <c r="I68" s="39" t="str">
        <f>IF(H68&lt;&gt;"-",H68*60/'計画数(10分毎)'!$I$2*80%,"-")</f>
        <v>-</v>
      </c>
      <c r="J68" s="38">
        <f>IF('計画数(10分毎)'!$M$3=A68,'計画数(10分毎)'!$P$3,0)</f>
        <v>0</v>
      </c>
      <c r="K68" s="38" t="str">
        <f t="shared" si="14"/>
        <v>-</v>
      </c>
      <c r="L68" s="38" t="str">
        <f t="shared" si="15"/>
        <v>-</v>
      </c>
      <c r="M68" s="39" t="str">
        <f>IF(L68&lt;&gt;"-",L68*60/'計画数(10分毎)'!$I$3*80%,"-")</f>
        <v>-</v>
      </c>
      <c r="N68" s="38">
        <f>IF('計画数(10分毎)'!$M$4=A68,'計画数(10分毎)'!$P$4,0)</f>
        <v>0</v>
      </c>
      <c r="O68" s="38" t="str">
        <f t="shared" si="16"/>
        <v>-</v>
      </c>
      <c r="P68" s="38" t="str">
        <f t="shared" si="17"/>
        <v>-</v>
      </c>
      <c r="Q68" s="39" t="str">
        <f>IF(P68&lt;&gt;"-",P68*60/'計画数(10分毎)'!$I$4*80%,"-")</f>
        <v>-</v>
      </c>
      <c r="R68" s="38">
        <f>IF('計画数(10分毎)'!$M$5=A68,'計画数(10分毎)'!$P$5,0)</f>
        <v>0</v>
      </c>
      <c r="S68" s="38" t="str">
        <f t="shared" si="18"/>
        <v>-</v>
      </c>
      <c r="T68" s="38" t="str">
        <f t="shared" si="19"/>
        <v>-</v>
      </c>
      <c r="U68" s="39" t="str">
        <f>IF(T68&lt;&gt;"-",T68*60/'計画数(10分毎)'!$I$5*80%,"-")</f>
        <v>-</v>
      </c>
      <c r="V68" s="38">
        <f>IF('計画数(10分毎)'!$M$6=A68,'計画数(10分毎)'!$P$6,0)</f>
        <v>0</v>
      </c>
      <c r="W68" s="38" t="str">
        <f t="shared" si="20"/>
        <v>-</v>
      </c>
      <c r="X68" s="38" t="str">
        <f t="shared" si="21"/>
        <v>-</v>
      </c>
      <c r="Y68" s="39" t="str">
        <f>IF(X68&lt;&gt;"-",X68*60/'計画数(10分毎)'!$I$6*80%,"-")</f>
        <v>-</v>
      </c>
      <c r="Z68" s="39" t="str">
        <f t="shared" si="22"/>
        <v>-</v>
      </c>
      <c r="AA68" s="39">
        <f t="shared" si="23"/>
        <v>0</v>
      </c>
      <c r="AB68" s="40"/>
      <c r="AC68" s="38"/>
      <c r="AD68" s="38"/>
      <c r="AE68" s="38"/>
      <c r="AF68" s="41"/>
    </row>
    <row r="69" spans="1:32" x14ac:dyDescent="0.25">
      <c r="A69" s="35">
        <v>62</v>
      </c>
      <c r="B69" s="74"/>
      <c r="C69" s="42">
        <v>0.71527777777777779</v>
      </c>
      <c r="D69" s="80"/>
      <c r="E69" s="44"/>
      <c r="F69" s="44">
        <f>IF('計画数(10分毎)'!$M$2=A69,'計画数(10分毎)'!$P$2,0)</f>
        <v>0</v>
      </c>
      <c r="G69" s="44" t="str">
        <f t="shared" si="12"/>
        <v>-</v>
      </c>
      <c r="H69" s="44" t="str">
        <f t="shared" si="13"/>
        <v>-</v>
      </c>
      <c r="I69" s="45" t="str">
        <f>IF(H69&lt;&gt;"-",H69*60/'計画数(10分毎)'!$I$2*80%,"-")</f>
        <v>-</v>
      </c>
      <c r="J69" s="44">
        <f>IF('計画数(10分毎)'!$M$3=A69,'計画数(10分毎)'!$P$3,0)</f>
        <v>0</v>
      </c>
      <c r="K69" s="44" t="str">
        <f t="shared" si="14"/>
        <v>-</v>
      </c>
      <c r="L69" s="44" t="str">
        <f t="shared" si="15"/>
        <v>-</v>
      </c>
      <c r="M69" s="45" t="str">
        <f>IF(L69&lt;&gt;"-",L69*60/'計画数(10分毎)'!$I$3*80%,"-")</f>
        <v>-</v>
      </c>
      <c r="N69" s="44">
        <f>IF('計画数(10分毎)'!$M$4=A69,'計画数(10分毎)'!$P$4,0)</f>
        <v>0</v>
      </c>
      <c r="O69" s="44" t="str">
        <f t="shared" si="16"/>
        <v>-</v>
      </c>
      <c r="P69" s="44" t="str">
        <f t="shared" si="17"/>
        <v>-</v>
      </c>
      <c r="Q69" s="45" t="str">
        <f>IF(P69&lt;&gt;"-",P69*60/'計画数(10分毎)'!$I$4*80%,"-")</f>
        <v>-</v>
      </c>
      <c r="R69" s="44">
        <f>IF('計画数(10分毎)'!$M$5=A69,'計画数(10分毎)'!$P$5,0)</f>
        <v>0</v>
      </c>
      <c r="S69" s="44" t="str">
        <f t="shared" si="18"/>
        <v>-</v>
      </c>
      <c r="T69" s="44" t="str">
        <f t="shared" si="19"/>
        <v>-</v>
      </c>
      <c r="U69" s="45" t="str">
        <f>IF(T69&lt;&gt;"-",T69*60/'計画数(10分毎)'!$I$5*80%,"-")</f>
        <v>-</v>
      </c>
      <c r="V69" s="44">
        <f>IF('計画数(10分毎)'!$M$6=A69,'計画数(10分毎)'!$P$6,0)</f>
        <v>0</v>
      </c>
      <c r="W69" s="44" t="str">
        <f t="shared" si="20"/>
        <v>-</v>
      </c>
      <c r="X69" s="44" t="str">
        <f t="shared" si="21"/>
        <v>-</v>
      </c>
      <c r="Y69" s="45" t="str">
        <f>IF(X69&lt;&gt;"-",X69*60/'計画数(10分毎)'!$I$6*80%,"-")</f>
        <v>-</v>
      </c>
      <c r="Z69" s="45" t="str">
        <f t="shared" si="22"/>
        <v>-</v>
      </c>
      <c r="AA69" s="45">
        <f t="shared" si="23"/>
        <v>0</v>
      </c>
      <c r="AB69" s="46"/>
      <c r="AC69" s="44"/>
      <c r="AD69" s="44"/>
      <c r="AE69" s="44"/>
      <c r="AF69" s="47"/>
    </row>
    <row r="70" spans="1:32" x14ac:dyDescent="0.25">
      <c r="A70" s="35">
        <v>63</v>
      </c>
      <c r="B70" s="74"/>
      <c r="C70" s="48">
        <v>0.72222222222222221</v>
      </c>
      <c r="D70" s="81"/>
      <c r="E70" s="49"/>
      <c r="F70" s="50">
        <f>IF('計画数(10分毎)'!$M$2=A70,'計画数(10分毎)'!$P$2,0)</f>
        <v>0</v>
      </c>
      <c r="G70" s="50" t="str">
        <f t="shared" si="12"/>
        <v>-</v>
      </c>
      <c r="H70" s="50" t="str">
        <f t="shared" si="13"/>
        <v>-</v>
      </c>
      <c r="I70" s="51" t="str">
        <f>IF(H70&lt;&gt;"-",H70*60/'計画数(10分毎)'!$I$2*80%,"-")</f>
        <v>-</v>
      </c>
      <c r="J70" s="50">
        <f>IF('計画数(10分毎)'!$M$3=A70,'計画数(10分毎)'!$P$3,0)</f>
        <v>0</v>
      </c>
      <c r="K70" s="50" t="str">
        <f t="shared" si="14"/>
        <v>-</v>
      </c>
      <c r="L70" s="50" t="str">
        <f t="shared" si="15"/>
        <v>-</v>
      </c>
      <c r="M70" s="51" t="str">
        <f>IF(L70&lt;&gt;"-",L70*60/'計画数(10分毎)'!$I$3*80%,"-")</f>
        <v>-</v>
      </c>
      <c r="N70" s="50">
        <f>IF('計画数(10分毎)'!$M$4=A70,'計画数(10分毎)'!$P$4,0)</f>
        <v>0</v>
      </c>
      <c r="O70" s="50" t="str">
        <f t="shared" si="16"/>
        <v>-</v>
      </c>
      <c r="P70" s="50" t="str">
        <f t="shared" si="17"/>
        <v>-</v>
      </c>
      <c r="Q70" s="51" t="str">
        <f>IF(P70&lt;&gt;"-",P70*60/'計画数(10分毎)'!$I$4*80%,"-")</f>
        <v>-</v>
      </c>
      <c r="R70" s="50">
        <f>IF('計画数(10分毎)'!$M$5=A70,'計画数(10分毎)'!$P$5,0)</f>
        <v>0</v>
      </c>
      <c r="S70" s="50" t="str">
        <f t="shared" si="18"/>
        <v>-</v>
      </c>
      <c r="T70" s="50" t="str">
        <f t="shared" si="19"/>
        <v>-</v>
      </c>
      <c r="U70" s="51" t="str">
        <f>IF(T70&lt;&gt;"-",T70*60/'計画数(10分毎)'!$I$5*80%,"-")</f>
        <v>-</v>
      </c>
      <c r="V70" s="50">
        <f>IF('計画数(10分毎)'!$M$6=A70,'計画数(10分毎)'!$P$6,0)</f>
        <v>0</v>
      </c>
      <c r="W70" s="50" t="str">
        <f t="shared" si="20"/>
        <v>-</v>
      </c>
      <c r="X70" s="50" t="str">
        <f t="shared" si="21"/>
        <v>-</v>
      </c>
      <c r="Y70" s="51" t="str">
        <f>IF(X70&lt;&gt;"-",X70*60/'計画数(10分毎)'!$I$6*80%,"-")</f>
        <v>-</v>
      </c>
      <c r="Z70" s="51" t="str">
        <f t="shared" si="22"/>
        <v>-</v>
      </c>
      <c r="AA70" s="51">
        <f t="shared" si="23"/>
        <v>0</v>
      </c>
      <c r="AB70" s="52"/>
      <c r="AC70" s="49"/>
      <c r="AD70" s="49"/>
      <c r="AE70" s="49"/>
      <c r="AF70" s="53"/>
    </row>
    <row r="71" spans="1:32" x14ac:dyDescent="0.25">
      <c r="A71" s="35">
        <v>64</v>
      </c>
      <c r="B71" s="74"/>
      <c r="C71" s="36">
        <v>0.72916666666666663</v>
      </c>
      <c r="D71" s="79"/>
      <c r="E71" s="38"/>
      <c r="F71" s="38">
        <f>IF('計画数(10分毎)'!$M$2=A71,'計画数(10分毎)'!$P$2,0)</f>
        <v>0</v>
      </c>
      <c r="G71" s="38" t="str">
        <f t="shared" si="12"/>
        <v>-</v>
      </c>
      <c r="H71" s="38" t="str">
        <f t="shared" si="13"/>
        <v>-</v>
      </c>
      <c r="I71" s="39" t="str">
        <f>IF(H71&lt;&gt;"-",H71*60/'計画数(10分毎)'!$I$2*80%,"-")</f>
        <v>-</v>
      </c>
      <c r="J71" s="38">
        <f>IF('計画数(10分毎)'!$M$3=A71,'計画数(10分毎)'!$P$3,0)</f>
        <v>0</v>
      </c>
      <c r="K71" s="38" t="str">
        <f t="shared" si="14"/>
        <v>-</v>
      </c>
      <c r="L71" s="38" t="str">
        <f t="shared" si="15"/>
        <v>-</v>
      </c>
      <c r="M71" s="39" t="str">
        <f>IF(L71&lt;&gt;"-",L71*60/'計画数(10分毎)'!$I$3*80%,"-")</f>
        <v>-</v>
      </c>
      <c r="N71" s="38">
        <f>IF('計画数(10分毎)'!$M$4=A71,'計画数(10分毎)'!$P$4,0)</f>
        <v>0</v>
      </c>
      <c r="O71" s="38" t="str">
        <f t="shared" si="16"/>
        <v>-</v>
      </c>
      <c r="P71" s="38" t="str">
        <f t="shared" si="17"/>
        <v>-</v>
      </c>
      <c r="Q71" s="39" t="str">
        <f>IF(P71&lt;&gt;"-",P71*60/'計画数(10分毎)'!$I$4*80%,"-")</f>
        <v>-</v>
      </c>
      <c r="R71" s="38">
        <f>IF('計画数(10分毎)'!$M$5=A71,'計画数(10分毎)'!$P$5,0)</f>
        <v>0</v>
      </c>
      <c r="S71" s="38" t="str">
        <f t="shared" si="18"/>
        <v>-</v>
      </c>
      <c r="T71" s="38" t="str">
        <f t="shared" si="19"/>
        <v>-</v>
      </c>
      <c r="U71" s="39" t="str">
        <f>IF(T71&lt;&gt;"-",T71*60/'計画数(10分毎)'!$I$5*80%,"-")</f>
        <v>-</v>
      </c>
      <c r="V71" s="38">
        <f>IF('計画数(10分毎)'!$M$6=A71,'計画数(10分毎)'!$P$6,0)</f>
        <v>0</v>
      </c>
      <c r="W71" s="38" t="str">
        <f t="shared" si="20"/>
        <v>-</v>
      </c>
      <c r="X71" s="38" t="str">
        <f t="shared" si="21"/>
        <v>-</v>
      </c>
      <c r="Y71" s="39" t="str">
        <f>IF(X71&lt;&gt;"-",X71*60/'計画数(10分毎)'!$I$6*80%,"-")</f>
        <v>-</v>
      </c>
      <c r="Z71" s="39" t="str">
        <f t="shared" si="22"/>
        <v>-</v>
      </c>
      <c r="AA71" s="39">
        <f t="shared" si="23"/>
        <v>0</v>
      </c>
      <c r="AB71" s="40"/>
      <c r="AC71" s="38"/>
      <c r="AD71" s="38"/>
      <c r="AE71" s="38"/>
      <c r="AF71" s="41"/>
    </row>
    <row r="72" spans="1:32" x14ac:dyDescent="0.25">
      <c r="A72" s="35">
        <v>65</v>
      </c>
      <c r="B72" s="74"/>
      <c r="C72" s="42">
        <v>0.73611111111111116</v>
      </c>
      <c r="D72" s="43"/>
      <c r="E72" s="44"/>
      <c r="F72" s="44">
        <f>IF('計画数(10分毎)'!$M$2=A72,'計画数(10分毎)'!$P$2,0)</f>
        <v>0</v>
      </c>
      <c r="G72" s="44" t="str">
        <f t="shared" si="12"/>
        <v>-</v>
      </c>
      <c r="H72" s="44" t="str">
        <f t="shared" si="13"/>
        <v>-</v>
      </c>
      <c r="I72" s="45" t="str">
        <f>IF(H72&lt;&gt;"-",H72*60/'計画数(10分毎)'!$I$2*80%,"-")</f>
        <v>-</v>
      </c>
      <c r="J72" s="44">
        <f>IF('計画数(10分毎)'!$M$3=A72,'計画数(10分毎)'!$P$3,0)</f>
        <v>0</v>
      </c>
      <c r="K72" s="44" t="str">
        <f t="shared" si="14"/>
        <v>-</v>
      </c>
      <c r="L72" s="44" t="str">
        <f t="shared" si="15"/>
        <v>-</v>
      </c>
      <c r="M72" s="45" t="str">
        <f>IF(L72&lt;&gt;"-",L72*60/'計画数(10分毎)'!$I$3*80%,"-")</f>
        <v>-</v>
      </c>
      <c r="N72" s="44">
        <f>IF('計画数(10分毎)'!$M$4=A72,'計画数(10分毎)'!$P$4,0)</f>
        <v>0</v>
      </c>
      <c r="O72" s="44" t="str">
        <f t="shared" si="16"/>
        <v>-</v>
      </c>
      <c r="P72" s="44" t="str">
        <f t="shared" si="17"/>
        <v>-</v>
      </c>
      <c r="Q72" s="45" t="str">
        <f>IF(P72&lt;&gt;"-",P72*60/'計画数(10分毎)'!$I$4*80%,"-")</f>
        <v>-</v>
      </c>
      <c r="R72" s="44">
        <f>IF('計画数(10分毎)'!$M$5=A72,'計画数(10分毎)'!$P$5,0)</f>
        <v>0</v>
      </c>
      <c r="S72" s="44" t="str">
        <f t="shared" si="18"/>
        <v>-</v>
      </c>
      <c r="T72" s="44" t="str">
        <f t="shared" si="19"/>
        <v>-</v>
      </c>
      <c r="U72" s="45" t="str">
        <f>IF(T72&lt;&gt;"-",T72*60/'計画数(10分毎)'!$I$5*80%,"-")</f>
        <v>-</v>
      </c>
      <c r="V72" s="44">
        <f>IF('計画数(10分毎)'!$M$6=A72,'計画数(10分毎)'!$P$6,0)</f>
        <v>0</v>
      </c>
      <c r="W72" s="44" t="str">
        <f t="shared" si="20"/>
        <v>-</v>
      </c>
      <c r="X72" s="44" t="str">
        <f t="shared" si="21"/>
        <v>-</v>
      </c>
      <c r="Y72" s="45" t="str">
        <f>IF(X72&lt;&gt;"-",X72*60/'計画数(10分毎)'!$I$6*80%,"-")</f>
        <v>-</v>
      </c>
      <c r="Z72" s="45" t="str">
        <f t="shared" si="22"/>
        <v>-</v>
      </c>
      <c r="AA72" s="45">
        <f t="shared" si="23"/>
        <v>0</v>
      </c>
      <c r="AB72" s="46"/>
      <c r="AC72" s="44"/>
      <c r="AD72" s="44"/>
      <c r="AE72" s="44"/>
      <c r="AF72" s="47"/>
    </row>
    <row r="73" spans="1:32" x14ac:dyDescent="0.25">
      <c r="A73" s="60">
        <v>66</v>
      </c>
      <c r="B73" s="75"/>
      <c r="C73" s="48">
        <v>0.74305555555555547</v>
      </c>
      <c r="D73" s="56"/>
      <c r="E73" s="49"/>
      <c r="F73" s="50">
        <f>IF('計画数(10分毎)'!$M$2=A73,'計画数(10分毎)'!$P$2,0)</f>
        <v>0</v>
      </c>
      <c r="G73" s="50" t="str">
        <f t="shared" si="12"/>
        <v>-</v>
      </c>
      <c r="H73" s="50" t="str">
        <f t="shared" si="13"/>
        <v>-</v>
      </c>
      <c r="I73" s="51" t="str">
        <f>IF(H73&lt;&gt;"-",H73*60/'計画数(10分毎)'!$I$2*80%,"-")</f>
        <v>-</v>
      </c>
      <c r="J73" s="50">
        <f>IF('計画数(10分毎)'!$M$3=A73,'計画数(10分毎)'!$P$3,0)</f>
        <v>0</v>
      </c>
      <c r="K73" s="50" t="str">
        <f t="shared" si="14"/>
        <v>-</v>
      </c>
      <c r="L73" s="50" t="str">
        <f t="shared" si="15"/>
        <v>-</v>
      </c>
      <c r="M73" s="51" t="str">
        <f>IF(L73&lt;&gt;"-",L73*60/'計画数(10分毎)'!$I$3*80%,"-")</f>
        <v>-</v>
      </c>
      <c r="N73" s="50">
        <f>IF('計画数(10分毎)'!$M$4=A73,'計画数(10分毎)'!$P$4,0)</f>
        <v>0</v>
      </c>
      <c r="O73" s="50" t="str">
        <f t="shared" si="16"/>
        <v>-</v>
      </c>
      <c r="P73" s="50" t="str">
        <f t="shared" si="17"/>
        <v>-</v>
      </c>
      <c r="Q73" s="51" t="str">
        <f>IF(P73&lt;&gt;"-",P73*60/'計画数(10分毎)'!$I$4*80%,"-")</f>
        <v>-</v>
      </c>
      <c r="R73" s="50">
        <f>IF('計画数(10分毎)'!$M$5=A73,'計画数(10分毎)'!$P$5,0)</f>
        <v>0</v>
      </c>
      <c r="S73" s="50" t="str">
        <f t="shared" si="18"/>
        <v>-</v>
      </c>
      <c r="T73" s="50" t="str">
        <f t="shared" si="19"/>
        <v>-</v>
      </c>
      <c r="U73" s="51" t="str">
        <f>IF(T73&lt;&gt;"-",T73*60/'計画数(10分毎)'!$I$5*80%,"-")</f>
        <v>-</v>
      </c>
      <c r="V73" s="50">
        <f>IF('計画数(10分毎)'!$M$6=A73,'計画数(10分毎)'!$P$6,0)</f>
        <v>0</v>
      </c>
      <c r="W73" s="50" t="str">
        <f t="shared" si="20"/>
        <v>-</v>
      </c>
      <c r="X73" s="50" t="str">
        <f t="shared" si="21"/>
        <v>-</v>
      </c>
      <c r="Y73" s="51" t="str">
        <f>IF(X73&lt;&gt;"-",X73*60/'計画数(10分毎)'!$I$6*80%,"-")</f>
        <v>-</v>
      </c>
      <c r="Z73" s="51" t="str">
        <f t="shared" si="22"/>
        <v>-</v>
      </c>
      <c r="AA73" s="51">
        <f t="shared" si="23"/>
        <v>0</v>
      </c>
      <c r="AB73" s="52"/>
      <c r="AC73" s="49"/>
      <c r="AD73" s="49"/>
      <c r="AE73" s="49"/>
      <c r="AF73" s="53"/>
    </row>
    <row r="74" spans="1:32" ht="7.5" customHeight="1" x14ac:dyDescent="0.25"/>
    <row r="75" spans="1:32" x14ac:dyDescent="0.25">
      <c r="B75" s="65" t="s">
        <v>80</v>
      </c>
    </row>
  </sheetData>
  <mergeCells count="28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66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2026-01-28T23:39:45Z</dcterms:modified>
</cp:coreProperties>
</file>