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BD57BF53-4F80-4399-8565-4F0AF8DCFD0D}" xr6:coauthVersionLast="47" xr6:coauthVersionMax="47" xr10:uidLastSave="{00000000-0000-0000-0000-000000000000}"/>
  <bookViews>
    <workbookView xWindow="-120" yWindow="-120" windowWidth="16440" windowHeight="29040" xr2:uid="{46C296D3-9FCE-4739-80D7-62830EB10CBF}"/>
  </bookViews>
  <sheets>
    <sheet name="生産状況" sheetId="1" r:id="rId1"/>
    <sheet name="不良数" sheetId="9" r:id="rId2"/>
    <sheet name="計画数(10分毎)" sheetId="2" r:id="rId3"/>
    <sheet name="production" sheetId="3" r:id="rId4"/>
    <sheet name="CT" sheetId="4" r:id="rId5"/>
    <sheet name="defective" sheetId="5" r:id="rId6"/>
    <sheet name="linestop" sheetId="6" r:id="rId7"/>
    <sheet name="Sheet1" sheetId="8" r:id="rId8"/>
    <sheet name="YOBIBAN" sheetId="7" r:id="rId9"/>
  </sheets>
  <functionGroups builtInGroupCount="19"/>
  <definedNames>
    <definedName name="_xlnm._FilterDatabase" localSheetId="2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9" l="1"/>
  <c r="B7" i="1"/>
  <c r="B4" i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M4" i="2" l="1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U25" i="2" l="1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Y13" i="2" l="1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V16" i="2" l="1"/>
  <c r="V4" i="2"/>
  <c r="Y15" i="2"/>
  <c r="W4" i="2" l="1"/>
  <c r="X4" i="2" s="1"/>
  <c r="Y4" i="2" s="1"/>
  <c r="V5" i="2"/>
  <c r="W16" i="2"/>
  <c r="X16" i="2" s="1"/>
  <c r="Y16" i="2" s="1"/>
  <c r="V17" i="2"/>
  <c r="W17" i="2" l="1"/>
  <c r="X17" i="2" s="1"/>
  <c r="Y17" i="2" s="1"/>
  <c r="V18" i="2"/>
  <c r="W5" i="2"/>
  <c r="X5" i="2" s="1"/>
  <c r="V6" i="2"/>
  <c r="Y5" i="2"/>
  <c r="W6" i="2" l="1"/>
  <c r="X6" i="2" s="1"/>
  <c r="Y6" i="2" s="1"/>
  <c r="V7" i="2"/>
  <c r="W18" i="2"/>
  <c r="X18" i="2" s="1"/>
  <c r="Y18" i="2" s="1"/>
  <c r="V19" i="2"/>
  <c r="W19" i="2" l="1"/>
  <c r="X19" i="2" s="1"/>
  <c r="Y19" i="2" s="1"/>
  <c r="V20" i="2"/>
  <c r="W7" i="2"/>
  <c r="X7" i="2" s="1"/>
  <c r="Y7" i="2" s="1"/>
  <c r="V8" i="2"/>
  <c r="W8" i="2" l="1"/>
  <c r="X8" i="2" s="1"/>
  <c r="Y8" i="2" s="1"/>
  <c r="V9" i="2"/>
  <c r="W20" i="2"/>
  <c r="X20" i="2" s="1"/>
  <c r="Y20" i="2" s="1"/>
  <c r="V21" i="2"/>
  <c r="W21" i="2" l="1"/>
  <c r="X21" i="2" s="1"/>
  <c r="Y21" i="2" s="1"/>
  <c r="V22" i="2"/>
  <c r="W9" i="2"/>
  <c r="X9" i="2" s="1"/>
  <c r="Y9" i="2" s="1"/>
  <c r="V10" i="2"/>
  <c r="W10" i="2" l="1"/>
  <c r="X10" i="2" s="1"/>
  <c r="Y10" i="2" s="1"/>
  <c r="Y11" i="2" s="1"/>
  <c r="V11" i="2"/>
  <c r="W11" i="2" s="1"/>
  <c r="X11" i="2" s="1"/>
  <c r="W22" i="2"/>
  <c r="X22" i="2" s="1"/>
  <c r="Y22" i="2" s="1"/>
  <c r="V23" i="2"/>
  <c r="W23" i="2" l="1"/>
  <c r="X23" i="2" s="1"/>
  <c r="Y23" i="2" s="1"/>
  <c r="V24" i="2"/>
  <c r="W24" i="2" l="1"/>
  <c r="X24" i="2" s="1"/>
  <c r="Y24" i="2" s="1"/>
  <c r="Y25" i="2" s="1"/>
  <c r="V25" i="2"/>
  <c r="W25" i="2" s="1"/>
  <c r="X25" i="2" s="1"/>
</calcChain>
</file>

<file path=xl/sharedStrings.xml><?xml version="1.0" encoding="utf-8"?>
<sst xmlns="http://schemas.openxmlformats.org/spreadsheetml/2006/main" count="257" uniqueCount="157">
  <si>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</si>
  <si>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</si>
  <si>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</si>
  <si>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</si>
  <si>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</si>
  <si>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</si>
  <si>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</si>
  <si>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</si>
  <si>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</si>
  <si>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</si>
  <si>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</si>
  <si>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</si>
  <si>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</si>
  <si>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</si>
  <si>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</si>
  <si>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</si>
  <si>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</si>
  <si>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</si>
  <si>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</si>
  <si>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</si>
  <si>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</si>
  <si>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</si>
  <si>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</si>
  <si>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</si>
  <si>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</si>
  <si>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</si>
  <si>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</si>
  <si>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</si>
  <si>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</si>
  <si>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</si>
  <si>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</si>
  <si>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</si>
  <si>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</si>
  <si>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</si>
  <si>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</si>
  <si>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</si>
  <si>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</si>
  <si>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</si>
  <si>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</si>
  <si>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</si>
  <si>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</si>
  <si>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</si>
  <si>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</si>
  <si>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</si>
  <si>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</si>
  <si>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</si>
  <si>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</si>
  <si>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</si>
  <si>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</si>
  <si>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</si>
  <si>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</si>
  <si>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</si>
  <si>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</si>
  <si>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</si>
  <si>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</si>
  <si>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</si>
  <si>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</si>
  <si>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</si>
  <si>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</si>
  <si>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</si>
  <si>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</si>
  <si>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</si>
  <si>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</si>
  <si>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</si>
  <si>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</si>
  <si>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</si>
  <si>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</si>
  <si>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</si>
  <si>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</si>
  <si>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</si>
  <si>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</si>
  <si>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</si>
  <si>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</si>
  <si>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</si>
  <si>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</si>
  <si>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</si>
  <si>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</si>
  <si>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</si>
  <si>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</si>
  <si>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</si>
  <si>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</si>
  <si>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</si>
  <si>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</si>
  <si>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</si>
  <si>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</si>
  <si>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</si>
  <si>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</si>
  <si>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</si>
  <si>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</si>
  <si>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</si>
  <si>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</si>
  <si>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</si>
  <si>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</si>
  <si>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</si>
  <si>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</si>
  <si>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</si>
  <si>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</si>
  <si>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</si>
  <si>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</si>
  <si>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</si>
  <si>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</si>
  <si>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</si>
  <si>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</si>
  <si>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</si>
  <si>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</si>
  <si>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</si>
  <si>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</si>
  <si>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</si>
  <si>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</si>
  <si>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</si>
  <si>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</si>
  <si>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</si>
  <si>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</si>
  <si>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</si>
  <si>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</si>
  <si>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</si>
  <si>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</si>
  <si>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</si>
  <si>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</si>
  <si>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</si>
  <si>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</si>
  <si>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</si>
  <si>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</si>
  <si>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下田美咲</t>
    <phoneticPr fontId="1"/>
  </si>
  <si>
    <t>旋削
不良数</t>
    <rPh sb="0" eb="2">
      <t>センサク</t>
    </rPh>
    <rPh sb="3" eb="5">
      <t>フリョウ</t>
    </rPh>
    <rPh sb="5" eb="6">
      <t>スウ</t>
    </rPh>
    <phoneticPr fontId="1"/>
  </si>
  <si>
    <t>軌道</t>
    <rPh sb="0" eb="2">
      <t>キドウ</t>
    </rPh>
    <phoneticPr fontId="1"/>
  </si>
  <si>
    <t>内径</t>
    <rPh sb="0" eb="2">
      <t>ナイケイ</t>
    </rPh>
    <phoneticPr fontId="1"/>
  </si>
  <si>
    <t>端面</t>
    <rPh sb="0" eb="2">
      <t>タンメン</t>
    </rPh>
    <phoneticPr fontId="1"/>
  </si>
  <si>
    <t>外径</t>
    <rPh sb="0" eb="2">
      <t>ガイケイ</t>
    </rPh>
    <phoneticPr fontId="1"/>
  </si>
  <si>
    <t>落下品</t>
    <rPh sb="0" eb="2">
      <t>ラッカ</t>
    </rPh>
    <rPh sb="2" eb="3">
      <t>ヒン</t>
    </rPh>
    <phoneticPr fontId="1"/>
  </si>
  <si>
    <t>段取り品</t>
    <rPh sb="0" eb="2">
      <t>ダンド</t>
    </rPh>
    <rPh sb="3" eb="4">
      <t>ヒン</t>
    </rPh>
    <phoneticPr fontId="1"/>
  </si>
  <si>
    <t>完成品
落下品</t>
    <rPh sb="0" eb="3">
      <t>カンセイヒン</t>
    </rPh>
    <rPh sb="4" eb="7">
      <t>ラッカヒン</t>
    </rPh>
    <phoneticPr fontId="1"/>
  </si>
  <si>
    <t>リベット
ボール</t>
    <phoneticPr fontId="1"/>
  </si>
  <si>
    <t>シール
シールド</t>
    <phoneticPr fontId="1"/>
  </si>
  <si>
    <t>NG
レーザー</t>
    <phoneticPr fontId="1"/>
  </si>
  <si>
    <t>段取品</t>
    <rPh sb="0" eb="2">
      <t>ダンド</t>
    </rPh>
    <rPh sb="2" eb="3">
      <t>ヒン</t>
    </rPh>
    <phoneticPr fontId="1"/>
  </si>
  <si>
    <t>保持器</t>
    <rPh sb="0" eb="3">
      <t>ホジキ</t>
    </rPh>
    <phoneticPr fontId="1"/>
  </si>
  <si>
    <t>種類</t>
    <rPh sb="0" eb="2">
      <t>シュルイ</t>
    </rPh>
    <phoneticPr fontId="1"/>
  </si>
  <si>
    <t>A</t>
  </si>
  <si>
    <t>単体品不良数</t>
  </si>
  <si>
    <t>単体品不良数</t>
    <rPh sb="0" eb="3">
      <t>タンタイヒン</t>
    </rPh>
    <rPh sb="3" eb="6">
      <t>フリョウスウ</t>
    </rPh>
    <phoneticPr fontId="1"/>
  </si>
  <si>
    <t>完成品不良数</t>
    <rPh sb="0" eb="3">
      <t>カンセイヒン</t>
    </rPh>
    <rPh sb="3" eb="6">
      <t>フリョウスウ</t>
    </rPh>
    <phoneticPr fontId="1"/>
  </si>
  <si>
    <t>部品不良数</t>
    <rPh sb="0" eb="2">
      <t>ブヒン</t>
    </rPh>
    <rPh sb="2" eb="5">
      <t>フリョウスウ</t>
    </rPh>
    <phoneticPr fontId="1"/>
  </si>
  <si>
    <t>旋削不良数</t>
    <rPh sb="0" eb="5">
      <t>センサクフリョウスウ</t>
    </rPh>
    <phoneticPr fontId="1"/>
  </si>
  <si>
    <t>落下品</t>
    <rPh sb="0" eb="3">
      <t>ラッカヒン</t>
    </rPh>
    <phoneticPr fontId="1"/>
  </si>
  <si>
    <t>保持器かしめ</t>
    <rPh sb="0" eb="3">
      <t>ホジキ</t>
    </rPh>
    <phoneticPr fontId="1"/>
  </si>
  <si>
    <t>リベット・ボール</t>
    <phoneticPr fontId="1"/>
  </si>
  <si>
    <t>シール・シールド</t>
    <phoneticPr fontId="1"/>
  </si>
  <si>
    <t>NGレーザー</t>
    <phoneticPr fontId="1"/>
  </si>
  <si>
    <t>完成品
不良数</t>
    <rPh sb="0" eb="3">
      <t>カンセイヒン</t>
    </rPh>
    <rPh sb="4" eb="7">
      <t>フリョウスウ</t>
    </rPh>
    <phoneticPr fontId="1"/>
  </si>
  <si>
    <t>部品不良数</t>
    <rPh sb="0" eb="5">
      <t>ブヒンフリョウスウ</t>
    </rPh>
    <phoneticPr fontId="1"/>
  </si>
  <si>
    <t>単体品
不良数
(内輪)</t>
    <rPh sb="0" eb="3">
      <t>タンタイヒン</t>
    </rPh>
    <rPh sb="4" eb="7">
      <t>フリョウスウ</t>
    </rPh>
    <rPh sb="9" eb="11">
      <t>ナイリン</t>
    </rPh>
    <phoneticPr fontId="1"/>
  </si>
  <si>
    <t>単体品
不良数
(外輪)</t>
    <rPh sb="0" eb="3">
      <t>タンタイヒン</t>
    </rPh>
    <rPh sb="4" eb="7">
      <t>フリョウスウ</t>
    </rPh>
    <rPh sb="9" eb="11">
      <t>ガイリン</t>
    </rPh>
    <phoneticPr fontId="1"/>
  </si>
  <si>
    <t>Sheets("不良数").Select</t>
  </si>
  <si>
    <t>End Sub</t>
  </si>
  <si>
    <t xml:space="preserve">   SB161215-2SH2CS</t>
  </si>
  <si>
    <t>B-19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</si>
</sst>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  <font>
      <sz val="10"/>
      <color theme="0"/>
      <name val="Meiryo UI"/>
      <family val="2"/>
      <charset val="128"/>
    </font>
    <font>
      <sz val="10"/>
      <color theme="0"/>
      <name val="Meiryo UI"/>
      <family val="3"/>
      <charset val="128"/>
    </font>
    <font>
      <sz val="16"/>
      <color rgb="FF000000"/>
      <name val="Meiryo UI"/>
      <family val="3"/>
      <charset val="128"/>
    </font>
    <font>
      <sz val="14"/>
      <color rgb="FF00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5" tint="-0.249977111117893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2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8" xfId="0" applyFon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6" fillId="5" borderId="4" xfId="0" applyFont="1" applyFill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27" xfId="0" applyFont="1" applyFill="1" applyBorder="1">
      <alignment vertical="center"/>
    </xf>
    <xf numFmtId="0" fontId="4" fillId="2" borderId="37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7" borderId="18" xfId="0" applyFont="1" applyFill="1" applyBorder="1">
      <alignment vertical="center"/>
    </xf>
    <xf numFmtId="0" fontId="0" fillId="4" borderId="0" xfId="0" applyFill="1">
      <alignment vertical="center"/>
    </xf>
    <xf numFmtId="0" fontId="0" fillId="4" borderId="46" xfId="0" applyFill="1" applyBorder="1">
      <alignment vertical="center"/>
    </xf>
    <xf numFmtId="0" fontId="0" fillId="0" borderId="26" xfId="0" applyBorder="1">
      <alignment vertical="center"/>
    </xf>
    <xf numFmtId="0" fontId="0" fillId="0" borderId="44" xfId="0" applyBorder="1">
      <alignment vertical="center"/>
    </xf>
    <xf numFmtId="0" fontId="0" fillId="0" borderId="41" xfId="0" applyBorder="1">
      <alignment vertical="center"/>
    </xf>
    <xf numFmtId="14" fontId="0" fillId="0" borderId="6" xfId="0" applyNumberFormat="1" applyBorder="1">
      <alignment vertical="center"/>
    </xf>
    <xf numFmtId="0" fontId="11" fillId="8" borderId="39" xfId="0" applyFont="1" applyFill="1" applyBorder="1">
      <alignment vertical="center"/>
    </xf>
    <xf numFmtId="0" fontId="11" fillId="8" borderId="47" xfId="0" applyFont="1" applyFill="1" applyBorder="1">
      <alignment vertical="center"/>
    </xf>
    <xf numFmtId="0" fontId="11" fillId="8" borderId="42" xfId="0" applyFont="1" applyFill="1" applyBorder="1">
      <alignment vertical="center"/>
    </xf>
    <xf numFmtId="0" fontId="10" fillId="8" borderId="31" xfId="0" applyFont="1" applyFill="1" applyBorder="1">
      <alignment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 wrapText="1"/>
    </xf>
    <xf numFmtId="0" fontId="6" fillId="5" borderId="43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16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41" xfId="0" applyFont="1" applyFill="1" applyBorder="1" applyAlignment="1">
      <alignment horizontal="center" vertical="center"/>
    </xf>
    <xf numFmtId="0" fontId="6" fillId="5" borderId="44" xfId="0" applyFont="1" applyFill="1" applyBorder="1" applyAlignment="1">
      <alignment horizontal="center" vertical="center"/>
    </xf>
    <xf numFmtId="0" fontId="6" fillId="5" borderId="39" xfId="0" applyFont="1" applyFill="1" applyBorder="1" applyAlignment="1">
      <alignment horizontal="center" vertical="center"/>
    </xf>
    <xf numFmtId="0" fontId="6" fillId="5" borderId="42" xfId="0" applyFont="1" applyFill="1" applyBorder="1" applyAlignment="1">
      <alignment horizontal="center" vertical="center"/>
    </xf>
    <xf numFmtId="0" fontId="11" fillId="8" borderId="48" xfId="0" applyFont="1" applyFill="1" applyBorder="1" applyAlignment="1">
      <alignment horizontal="center" vertical="center" wrapText="1"/>
    </xf>
    <xf numFmtId="0" fontId="11" fillId="8" borderId="49" xfId="0" applyFont="1" applyFill="1" applyBorder="1" applyAlignment="1">
      <alignment horizontal="center" vertical="center"/>
    </xf>
    <xf numFmtId="0" fontId="11" fillId="8" borderId="50" xfId="0" applyFont="1" applyFill="1" applyBorder="1" applyAlignment="1">
      <alignment horizontal="center" vertical="center"/>
    </xf>
    <xf numFmtId="0" fontId="11" fillId="8" borderId="48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 wrapText="1"/>
    </xf>
    <xf numFmtId="0" fontId="11" fillId="8" borderId="45" xfId="0" applyFont="1" applyFill="1" applyBorder="1" applyAlignment="1">
      <alignment horizontal="center" vertical="center" wrapText="1"/>
    </xf>
    <xf numFmtId="0" fontId="11" fillId="8" borderId="25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385872</xdr:colOff>
      <xdr:row>24</xdr:row>
      <xdr:rowOff>59493</xdr:rowOff>
    </xdr:from>
    <xdr:to>
      <xdr:col>91</xdr:col>
      <xdr:colOff>225173</xdr:colOff>
      <xdr:row>104</xdr:row>
      <xdr:rowOff>65843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35380722" y="5479218"/>
          <a:ext cx="8383226" cy="16656050"/>
          <a:chOff x="325861" y="124701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861" y="124701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173148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63851</xdr:colOff>
          <xdr:row>74</xdr:row>
          <xdr:rowOff>198873</xdr:rowOff>
        </xdr:from>
        <xdr:to>
          <xdr:col>45</xdr:col>
          <xdr:colOff>434188</xdr:colOff>
          <xdr:row>85</xdr:row>
          <xdr:rowOff>90686</xdr:rowOff>
        </xdr:to>
        <xdr:pic macro="[0]!Picture333_Click">
          <xdr:nvPicPr>
            <xdr:cNvPr id="10" name="Picture 333">
              <a:extLst>
                <a:ext uri="{FF2B5EF4-FFF2-40B4-BE49-F238E27FC236}">
                  <a16:creationId xmlns:a16="http://schemas.microsoft.com/office/drawing/2014/main" id="{DBEF22AE-0B09-4613-AEBF-82D5B35F45C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O$89:$AU$101" spid="_x0000_s149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5478800" y="16294179"/>
              <a:ext cx="3237556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426687</xdr:colOff>
          <xdr:row>74</xdr:row>
          <xdr:rowOff>198873</xdr:rowOff>
        </xdr:from>
        <xdr:to>
          <xdr:col>55</xdr:col>
          <xdr:colOff>500503</xdr:colOff>
          <xdr:row>85</xdr:row>
          <xdr:rowOff>90686</xdr:rowOff>
        </xdr:to>
        <xdr:pic macro="[0]!Picture334_Click">
          <xdr:nvPicPr>
            <xdr:cNvPr id="12" name="Picture 334">
              <a:extLst>
                <a:ext uri="{FF2B5EF4-FFF2-40B4-BE49-F238E27FC236}">
                  <a16:creationId xmlns:a16="http://schemas.microsoft.com/office/drawing/2014/main" id="{862B59AB-0811-4ADC-BED0-40D640D3C8F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V$89:$BH$101" spid="_x0000_s149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8708855" y="16294179"/>
              <a:ext cx="5516674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489411</xdr:colOff>
          <xdr:row>74</xdr:row>
          <xdr:rowOff>198873</xdr:rowOff>
        </xdr:from>
        <xdr:to>
          <xdr:col>57</xdr:col>
          <xdr:colOff>541337</xdr:colOff>
          <xdr:row>85</xdr:row>
          <xdr:rowOff>90686</xdr:rowOff>
        </xdr:to>
        <xdr:pic macro="[0]!Picture335_Click">
          <xdr:nvPicPr>
            <xdr:cNvPr id="14" name="Picture 335">
              <a:extLst>
                <a:ext uri="{FF2B5EF4-FFF2-40B4-BE49-F238E27FC236}">
                  <a16:creationId xmlns:a16="http://schemas.microsoft.com/office/drawing/2014/main" id="{49DB6127-530A-4F02-803E-6BDC00F0618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I$89:$BK$101" spid="_x0000_s149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214437" y="16294179"/>
              <a:ext cx="1169655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650758</xdr:colOff>
          <xdr:row>74</xdr:row>
          <xdr:rowOff>198872</xdr:rowOff>
        </xdr:from>
        <xdr:to>
          <xdr:col>40</xdr:col>
          <xdr:colOff>71800</xdr:colOff>
          <xdr:row>85</xdr:row>
          <xdr:rowOff>90685</xdr:rowOff>
        </xdr:to>
        <xdr:pic macro="[0]!図14_Click">
          <xdr:nvPicPr>
            <xdr:cNvPr id="15" name="図 14">
              <a:extLst>
                <a:ext uri="{FF2B5EF4-FFF2-40B4-BE49-F238E27FC236}">
                  <a16:creationId xmlns:a16="http://schemas.microsoft.com/office/drawing/2014/main" id="{66B018E6-4D89-01A4-E12A-161988E250A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L$89:$AN$101" spid="_x0000_s149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3013819" y="16294178"/>
              <a:ext cx="2472930" cy="22439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80</xdr:row>
          <xdr:rowOff>104775</xdr:rowOff>
        </xdr:from>
        <xdr:to>
          <xdr:col>32</xdr:col>
          <xdr:colOff>28575</xdr:colOff>
          <xdr:row>85</xdr:row>
          <xdr:rowOff>114300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不良数　閲覧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75</xdr:row>
          <xdr:rowOff>85725</xdr:rowOff>
        </xdr:from>
        <xdr:to>
          <xdr:col>4</xdr:col>
          <xdr:colOff>1114425</xdr:colOff>
          <xdr:row>80</xdr:row>
          <xdr:rowOff>104775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不良数入力　</a:t>
              </a:r>
            </a:p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単体品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1123950</xdr:colOff>
          <xdr:row>75</xdr:row>
          <xdr:rowOff>85725</xdr:rowOff>
        </xdr:from>
        <xdr:to>
          <xdr:col>29</xdr:col>
          <xdr:colOff>561975</xdr:colOff>
          <xdr:row>80</xdr:row>
          <xdr:rowOff>104775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不良品入力</a:t>
              </a:r>
            </a:p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完成品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571500</xdr:colOff>
          <xdr:row>75</xdr:row>
          <xdr:rowOff>85725</xdr:rowOff>
        </xdr:from>
        <xdr:to>
          <xdr:col>32</xdr:col>
          <xdr:colOff>28575</xdr:colOff>
          <xdr:row>80</xdr:row>
          <xdr:rowOff>104775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不良品入力</a:t>
              </a:r>
            </a:p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部品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39</xdr:row>
          <xdr:rowOff>133350</xdr:rowOff>
        </xdr:from>
        <xdr:to>
          <xdr:col>6</xdr:col>
          <xdr:colOff>628650</xdr:colOff>
          <xdr:row>47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ラインログに戻る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CQ129"/>
  <sheetViews>
    <sheetView tabSelected="1" topLeftCell="B4" zoomScaleNormal="96" workbookViewId="0">
      <selection activeCell="E42" sqref="E42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0" hidden="1" customWidth="1"/>
    <col min="10" max="12" width="13.625" style="16" hidden="1" customWidth="1"/>
    <col min="13" max="13" width="13.625" style="60" hidden="1" customWidth="1"/>
    <col min="14" max="16" width="13.625" style="16" hidden="1" customWidth="1"/>
    <col min="17" max="17" width="13.625" style="60" hidden="1" customWidth="1"/>
    <col min="18" max="20" width="13.625" style="16" hidden="1" customWidth="1"/>
    <col min="21" max="21" width="13.625" style="60" hidden="1" customWidth="1"/>
    <col min="22" max="24" width="13.625" style="16" hidden="1" customWidth="1"/>
    <col min="25" max="27" width="13.625" style="60" hidden="1" customWidth="1"/>
    <col min="28" max="28" width="10" style="60" customWidth="1"/>
    <col min="29" max="29" width="10" style="16" customWidth="1"/>
    <col min="30" max="32" width="14.5" style="16" customWidth="1"/>
    <col min="33" max="34" width="8.625" style="16" customWidth="1"/>
    <col min="35" max="35" width="20.875" style="24" customWidth="1"/>
    <col min="36" max="37" width="7.5" style="24" customWidth="1"/>
    <col min="38" max="38" width="25" style="24" customWidth="1"/>
    <col min="39" max="50" width="7.5" style="24" customWidth="1"/>
    <col min="51" max="51" width="8.625" style="16"/>
    <col min="52" max="52" width="6.25" style="16" customWidth="1"/>
    <col min="53" max="53" width="5.75" style="16" customWidth="1"/>
    <col min="54" max="54" width="7.375" style="16" customWidth="1"/>
    <col min="55" max="55" width="5.75" style="16" customWidth="1"/>
    <col min="56" max="56" width="7.25" style="16" customWidth="1"/>
    <col min="57" max="58" width="7.375" style="16" customWidth="1"/>
    <col min="59" max="62" width="5.75" style="16" customWidth="1"/>
    <col min="63" max="63" width="7.375" style="16" customWidth="1"/>
    <col min="64" max="67" width="5.75" style="16" customWidth="1"/>
    <col min="68" max="68" width="7.5" style="16" customWidth="1"/>
    <col min="69" max="69" width="5.75" style="16" customWidth="1"/>
    <col min="70" max="72" width="7.5" style="16" customWidth="1"/>
    <col min="73" max="77" width="5.75" style="16" customWidth="1"/>
    <col min="78" max="16384" width="8.625" style="16"/>
  </cols>
  <sheetData>
    <row r="2" spans="1:32" ht="56.45" customHeight="1" x14ac:dyDescent="0.25">
      <c r="B2" s="99" t="s">
        <v>60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</row>
    <row r="3" spans="1:32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32" x14ac:dyDescent="0.25">
      <c r="B4" s="20">
        <f ca="1">TODAY()</f>
        <v>46059</v>
      </c>
      <c r="C4" s="20" t="s">
        <v>156</v>
      </c>
      <c r="D4" s="21" t="s">
        <v>138</v>
      </c>
      <c r="E4" s="21" t="s">
        <v>123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/>
      <c r="AE4" s="21" t="s">
        <v>122</v>
      </c>
      <c r="AF4" s="21"/>
    </row>
    <row r="5" spans="1:32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32" ht="17.100000000000001" customHeight="1" x14ac:dyDescent="0.25">
      <c r="B6" s="64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32" x14ac:dyDescent="0.25">
      <c r="A7" s="26"/>
      <c r="B7" s="27">
        <f ca="1">TODAY()</f>
        <v>46059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</row>
    <row r="8" spans="1:32" x14ac:dyDescent="0.25">
      <c r="A8" s="35">
        <v>1</v>
      </c>
      <c r="B8" s="100">
        <v>0.29166666666666669</v>
      </c>
      <c r="C8" s="66">
        <v>0.29166666666666669</v>
      </c>
      <c r="D8" s="67"/>
      <c r="E8" s="37"/>
      <c r="F8" s="38"/>
      <c r="G8" s="38"/>
      <c r="H8" s="38"/>
      <c r="I8" s="39"/>
      <c r="J8" s="38"/>
      <c r="K8" s="38"/>
      <c r="L8" s="38"/>
      <c r="M8" s="39"/>
      <c r="N8" s="38"/>
      <c r="O8" s="38"/>
      <c r="P8" s="38"/>
      <c r="Q8" s="39"/>
      <c r="R8" s="38"/>
      <c r="S8" s="38"/>
      <c r="T8" s="38"/>
      <c r="U8" s="39"/>
      <c r="V8" s="38"/>
      <c r="W8" s="38"/>
      <c r="X8" s="38"/>
      <c r="Y8" s="39"/>
      <c r="Z8" s="39"/>
      <c r="AA8" s="39"/>
      <c r="AB8" s="40"/>
      <c r="AC8" s="38"/>
      <c r="AD8" s="38"/>
      <c r="AE8" s="38"/>
      <c r="AF8" s="41"/>
    </row>
    <row r="9" spans="1:32" x14ac:dyDescent="0.25">
      <c r="A9" s="35">
        <v>2</v>
      </c>
      <c r="B9" s="101"/>
      <c r="C9" s="42">
        <v>0.2986111111111111</v>
      </c>
      <c r="D9" s="68"/>
      <c r="E9" s="43"/>
      <c r="F9" s="43"/>
      <c r="G9" s="43"/>
      <c r="H9" s="43"/>
      <c r="I9" s="44"/>
      <c r="J9" s="43"/>
      <c r="K9" s="43"/>
      <c r="L9" s="43"/>
      <c r="M9" s="44"/>
      <c r="N9" s="43"/>
      <c r="O9" s="43"/>
      <c r="P9" s="43"/>
      <c r="Q9" s="44"/>
      <c r="R9" s="43"/>
      <c r="S9" s="43"/>
      <c r="T9" s="43"/>
      <c r="U9" s="44"/>
      <c r="V9" s="43"/>
      <c r="W9" s="43"/>
      <c r="X9" s="43"/>
      <c r="Y9" s="44"/>
      <c r="Z9" s="44"/>
      <c r="AA9" s="44"/>
      <c r="AB9" s="45"/>
      <c r="AC9" s="43"/>
      <c r="AD9" s="43"/>
      <c r="AE9" s="43"/>
      <c r="AF9" s="46"/>
    </row>
    <row r="10" spans="1:32" x14ac:dyDescent="0.25">
      <c r="A10" s="35">
        <v>3</v>
      </c>
      <c r="B10" s="101"/>
      <c r="C10" s="47">
        <v>0.30555555555555552</v>
      </c>
      <c r="D10" s="69"/>
      <c r="E10" s="48"/>
      <c r="F10" s="49"/>
      <c r="G10" s="49"/>
      <c r="H10" s="49"/>
      <c r="I10" s="50"/>
      <c r="J10" s="49"/>
      <c r="K10" s="49"/>
      <c r="L10" s="49"/>
      <c r="M10" s="50"/>
      <c r="N10" s="49"/>
      <c r="O10" s="49"/>
      <c r="P10" s="49"/>
      <c r="Q10" s="50"/>
      <c r="R10" s="49"/>
      <c r="S10" s="49"/>
      <c r="T10" s="49"/>
      <c r="U10" s="50"/>
      <c r="V10" s="49"/>
      <c r="W10" s="49"/>
      <c r="X10" s="49"/>
      <c r="Y10" s="50"/>
      <c r="Z10" s="50"/>
      <c r="AA10" s="50"/>
      <c r="AB10" s="51"/>
      <c r="AC10" s="48"/>
      <c r="AD10" s="48"/>
      <c r="AE10" s="48"/>
      <c r="AF10" s="52"/>
    </row>
    <row r="11" spans="1:32" x14ac:dyDescent="0.25">
      <c r="A11" s="35">
        <v>4</v>
      </c>
      <c r="B11" s="101"/>
      <c r="C11" s="42">
        <v>0.3125</v>
      </c>
      <c r="D11" s="67"/>
      <c r="E11" s="49"/>
      <c r="F11" s="38"/>
      <c r="G11" s="38"/>
      <c r="H11" s="38"/>
      <c r="I11" s="39"/>
      <c r="J11" s="38"/>
      <c r="K11" s="38"/>
      <c r="L11" s="38"/>
      <c r="M11" s="39"/>
      <c r="N11" s="38"/>
      <c r="O11" s="38"/>
      <c r="P11" s="38"/>
      <c r="Q11" s="39"/>
      <c r="R11" s="38"/>
      <c r="S11" s="38"/>
      <c r="T11" s="38"/>
      <c r="U11" s="39"/>
      <c r="V11" s="38"/>
      <c r="W11" s="38"/>
      <c r="X11" s="38"/>
      <c r="Y11" s="39"/>
      <c r="Z11" s="39"/>
      <c r="AA11" s="39"/>
      <c r="AB11" s="53"/>
      <c r="AC11" s="49"/>
      <c r="AD11" s="49"/>
      <c r="AE11" s="49"/>
      <c r="AF11" s="54"/>
    </row>
    <row r="12" spans="1:32" x14ac:dyDescent="0.25">
      <c r="A12" s="35">
        <v>5</v>
      </c>
      <c r="B12" s="101"/>
      <c r="C12" s="42">
        <v>0.31944444444444448</v>
      </c>
      <c r="D12" s="68"/>
      <c r="E12" s="43"/>
      <c r="F12" s="43"/>
      <c r="G12" s="43"/>
      <c r="H12" s="43"/>
      <c r="I12" s="44"/>
      <c r="J12" s="43"/>
      <c r="K12" s="43"/>
      <c r="L12" s="43"/>
      <c r="M12" s="44"/>
      <c r="N12" s="43"/>
      <c r="O12" s="43"/>
      <c r="P12" s="43"/>
      <c r="Q12" s="44"/>
      <c r="R12" s="43"/>
      <c r="S12" s="43"/>
      <c r="T12" s="43"/>
      <c r="U12" s="44"/>
      <c r="V12" s="43"/>
      <c r="W12" s="43"/>
      <c r="X12" s="43"/>
      <c r="Y12" s="44"/>
      <c r="Z12" s="44"/>
      <c r="AA12" s="44"/>
      <c r="AB12" s="45"/>
      <c r="AC12" s="43"/>
      <c r="AD12" s="43"/>
      <c r="AE12" s="43"/>
      <c r="AF12" s="46"/>
    </row>
    <row r="13" spans="1:32" x14ac:dyDescent="0.25">
      <c r="A13" s="35">
        <v>6</v>
      </c>
      <c r="B13" s="102"/>
      <c r="C13" s="42">
        <v>0.3263888888888889</v>
      </c>
      <c r="D13" s="55"/>
      <c r="E13" s="49"/>
      <c r="F13" s="49"/>
      <c r="G13" s="49"/>
      <c r="H13" s="49"/>
      <c r="I13" s="50"/>
      <c r="J13" s="49"/>
      <c r="K13" s="49"/>
      <c r="L13" s="49"/>
      <c r="M13" s="50"/>
      <c r="N13" s="49"/>
      <c r="O13" s="49"/>
      <c r="P13" s="49"/>
      <c r="Q13" s="50"/>
      <c r="R13" s="49"/>
      <c r="S13" s="49"/>
      <c r="T13" s="49"/>
      <c r="U13" s="50"/>
      <c r="V13" s="49"/>
      <c r="W13" s="49"/>
      <c r="X13" s="49"/>
      <c r="Y13" s="50"/>
      <c r="Z13" s="50"/>
      <c r="AA13" s="50"/>
      <c r="AB13" s="53"/>
      <c r="AC13" s="49"/>
      <c r="AD13" s="49"/>
      <c r="AE13" s="49"/>
      <c r="AF13" s="54"/>
    </row>
    <row r="14" spans="1:32" x14ac:dyDescent="0.25">
      <c r="A14" s="35">
        <v>7</v>
      </c>
      <c r="B14" s="100">
        <v>0.33333333333333298</v>
      </c>
      <c r="C14" s="36">
        <v>0.33333333333333331</v>
      </c>
      <c r="D14" s="70"/>
      <c r="E14" s="38"/>
      <c r="F14" s="38"/>
      <c r="G14" s="38"/>
      <c r="H14" s="38"/>
      <c r="I14" s="39"/>
      <c r="J14" s="38"/>
      <c r="K14" s="38"/>
      <c r="L14" s="38"/>
      <c r="M14" s="39"/>
      <c r="N14" s="38"/>
      <c r="O14" s="38"/>
      <c r="P14" s="38"/>
      <c r="Q14" s="39"/>
      <c r="R14" s="38"/>
      <c r="S14" s="38"/>
      <c r="T14" s="38"/>
      <c r="U14" s="39"/>
      <c r="V14" s="38"/>
      <c r="W14" s="38"/>
      <c r="X14" s="38"/>
      <c r="Y14" s="39"/>
      <c r="Z14" s="39"/>
      <c r="AA14" s="39"/>
      <c r="AB14" s="40"/>
      <c r="AC14" s="38"/>
      <c r="AD14" s="38"/>
      <c r="AE14" s="38"/>
      <c r="AF14" s="41"/>
    </row>
    <row r="15" spans="1:32" x14ac:dyDescent="0.25">
      <c r="A15" s="35">
        <v>8</v>
      </c>
      <c r="B15" s="101"/>
      <c r="C15" s="42">
        <v>0.34027777777777773</v>
      </c>
      <c r="D15" s="68"/>
      <c r="E15" s="43"/>
      <c r="F15" s="43"/>
      <c r="G15" s="43"/>
      <c r="H15" s="43"/>
      <c r="I15" s="44"/>
      <c r="J15" s="43"/>
      <c r="K15" s="43"/>
      <c r="L15" s="43"/>
      <c r="M15" s="44"/>
      <c r="N15" s="43"/>
      <c r="O15" s="43"/>
      <c r="P15" s="43"/>
      <c r="Q15" s="44"/>
      <c r="R15" s="43"/>
      <c r="S15" s="43"/>
      <c r="T15" s="43"/>
      <c r="U15" s="44"/>
      <c r="V15" s="43"/>
      <c r="W15" s="43"/>
      <c r="X15" s="43"/>
      <c r="Y15" s="44"/>
      <c r="Z15" s="44"/>
      <c r="AA15" s="44"/>
      <c r="AB15" s="45"/>
      <c r="AC15" s="43"/>
      <c r="AD15" s="43"/>
      <c r="AE15" s="43"/>
      <c r="AF15" s="46"/>
    </row>
    <row r="16" spans="1:32" x14ac:dyDescent="0.25">
      <c r="A16" s="35">
        <v>9</v>
      </c>
      <c r="B16" s="101"/>
      <c r="C16" s="47">
        <v>0.34722222222222227</v>
      </c>
      <c r="D16" s="69"/>
      <c r="E16" s="48"/>
      <c r="F16" s="49"/>
      <c r="G16" s="49"/>
      <c r="H16" s="49"/>
      <c r="I16" s="50"/>
      <c r="J16" s="49"/>
      <c r="K16" s="49"/>
      <c r="L16" s="49"/>
      <c r="M16" s="50"/>
      <c r="N16" s="49"/>
      <c r="O16" s="49"/>
      <c r="P16" s="49"/>
      <c r="Q16" s="50"/>
      <c r="R16" s="49"/>
      <c r="S16" s="49"/>
      <c r="T16" s="49"/>
      <c r="U16" s="50"/>
      <c r="V16" s="49"/>
      <c r="W16" s="49"/>
      <c r="X16" s="49"/>
      <c r="Y16" s="50"/>
      <c r="Z16" s="50"/>
      <c r="AA16" s="50"/>
      <c r="AB16" s="51"/>
      <c r="AC16" s="48"/>
      <c r="AD16" s="48"/>
      <c r="AE16" s="48"/>
      <c r="AF16" s="52"/>
    </row>
    <row r="17" spans="1:32" x14ac:dyDescent="0.25">
      <c r="A17" s="35">
        <v>10</v>
      </c>
      <c r="B17" s="101"/>
      <c r="C17" s="42">
        <v>0.35416666666666669</v>
      </c>
      <c r="D17" s="67"/>
      <c r="E17" s="38"/>
      <c r="F17" s="38"/>
      <c r="G17" s="38"/>
      <c r="H17" s="38"/>
      <c r="I17" s="39"/>
      <c r="J17" s="38"/>
      <c r="K17" s="38"/>
      <c r="L17" s="38"/>
      <c r="M17" s="39"/>
      <c r="N17" s="38"/>
      <c r="O17" s="38"/>
      <c r="P17" s="38"/>
      <c r="Q17" s="39"/>
      <c r="R17" s="38"/>
      <c r="S17" s="38"/>
      <c r="T17" s="38"/>
      <c r="U17" s="39"/>
      <c r="V17" s="38"/>
      <c r="W17" s="38"/>
      <c r="X17" s="38"/>
      <c r="Y17" s="39"/>
      <c r="Z17" s="39"/>
      <c r="AA17" s="39"/>
      <c r="AB17" s="40"/>
      <c r="AC17" s="38"/>
      <c r="AD17" s="38"/>
      <c r="AE17" s="38"/>
      <c r="AF17" s="41"/>
    </row>
    <row r="18" spans="1:32" x14ac:dyDescent="0.25">
      <c r="A18" s="35">
        <v>11</v>
      </c>
      <c r="B18" s="101"/>
      <c r="C18" s="42">
        <v>0.3611111111111111</v>
      </c>
      <c r="D18" s="68"/>
      <c r="E18" s="43"/>
      <c r="F18" s="43"/>
      <c r="G18" s="43"/>
      <c r="H18" s="43"/>
      <c r="I18" s="44"/>
      <c r="J18" s="43"/>
      <c r="K18" s="43"/>
      <c r="L18" s="43"/>
      <c r="M18" s="44"/>
      <c r="N18" s="43"/>
      <c r="O18" s="43"/>
      <c r="P18" s="43"/>
      <c r="Q18" s="44"/>
      <c r="R18" s="43"/>
      <c r="S18" s="43"/>
      <c r="T18" s="43"/>
      <c r="U18" s="44"/>
      <c r="V18" s="43"/>
      <c r="W18" s="43"/>
      <c r="X18" s="43"/>
      <c r="Y18" s="44"/>
      <c r="Z18" s="44"/>
      <c r="AA18" s="44"/>
      <c r="AB18" s="45"/>
      <c r="AC18" s="43"/>
      <c r="AD18" s="43"/>
      <c r="AE18" s="43"/>
      <c r="AF18" s="46"/>
    </row>
    <row r="19" spans="1:32" ht="16.5" customHeight="1" x14ac:dyDescent="0.25">
      <c r="A19" s="35">
        <v>12</v>
      </c>
      <c r="B19" s="102"/>
      <c r="C19" s="42">
        <v>0.36805555555555558</v>
      </c>
      <c r="D19" s="55"/>
      <c r="E19" s="48"/>
      <c r="F19" s="49"/>
      <c r="G19" s="49"/>
      <c r="H19" s="49"/>
      <c r="I19" s="50"/>
      <c r="J19" s="49"/>
      <c r="K19" s="49"/>
      <c r="L19" s="49"/>
      <c r="M19" s="50"/>
      <c r="N19" s="49"/>
      <c r="O19" s="49"/>
      <c r="P19" s="49"/>
      <c r="Q19" s="50"/>
      <c r="R19" s="49"/>
      <c r="S19" s="49"/>
      <c r="T19" s="49"/>
      <c r="U19" s="50"/>
      <c r="V19" s="49"/>
      <c r="W19" s="49"/>
      <c r="X19" s="49"/>
      <c r="Y19" s="50"/>
      <c r="Z19" s="50"/>
      <c r="AA19" s="50"/>
      <c r="AB19" s="51"/>
      <c r="AC19" s="48"/>
      <c r="AD19" s="48"/>
      <c r="AE19" s="48"/>
      <c r="AF19" s="52"/>
    </row>
    <row r="20" spans="1:32" x14ac:dyDescent="0.25">
      <c r="A20" s="35">
        <v>13</v>
      </c>
      <c r="B20" s="100">
        <v>0.375</v>
      </c>
      <c r="C20" s="36">
        <v>0.375</v>
      </c>
      <c r="D20" s="70"/>
      <c r="E20" s="38"/>
      <c r="F20" s="38"/>
      <c r="G20" s="38"/>
      <c r="H20" s="38"/>
      <c r="I20" s="39"/>
      <c r="J20" s="38"/>
      <c r="K20" s="38"/>
      <c r="L20" s="38"/>
      <c r="M20" s="39"/>
      <c r="N20" s="38"/>
      <c r="O20" s="38"/>
      <c r="P20" s="38"/>
      <c r="Q20" s="39"/>
      <c r="R20" s="38"/>
      <c r="S20" s="38"/>
      <c r="T20" s="38"/>
      <c r="U20" s="39"/>
      <c r="V20" s="38"/>
      <c r="W20" s="38"/>
      <c r="X20" s="38"/>
      <c r="Y20" s="39"/>
      <c r="Z20" s="39"/>
      <c r="AA20" s="39"/>
      <c r="AB20" s="40"/>
      <c r="AC20" s="38"/>
      <c r="AD20" s="38"/>
      <c r="AE20" s="38"/>
      <c r="AF20" s="41"/>
    </row>
    <row r="21" spans="1:32" x14ac:dyDescent="0.25">
      <c r="A21" s="35">
        <v>14</v>
      </c>
      <c r="B21" s="101"/>
      <c r="C21" s="56">
        <v>0.38194444444444442</v>
      </c>
      <c r="D21" s="71" t="s">
        <v>11</v>
      </c>
      <c r="E21" s="43"/>
      <c r="F21" s="43"/>
      <c r="G21" s="43"/>
      <c r="H21" s="43"/>
      <c r="I21" s="44"/>
      <c r="J21" s="43"/>
      <c r="K21" s="43"/>
      <c r="L21" s="43"/>
      <c r="M21" s="44"/>
      <c r="N21" s="43"/>
      <c r="O21" s="43"/>
      <c r="P21" s="43"/>
      <c r="Q21" s="44"/>
      <c r="R21" s="43"/>
      <c r="S21" s="43"/>
      <c r="T21" s="43"/>
      <c r="U21" s="44"/>
      <c r="V21" s="43"/>
      <c r="W21" s="43"/>
      <c r="X21" s="43"/>
      <c r="Y21" s="44"/>
      <c r="Z21" s="44"/>
      <c r="AA21" s="44"/>
      <c r="AB21" s="45"/>
      <c r="AC21" s="43"/>
      <c r="AD21" s="43"/>
      <c r="AE21" s="43"/>
      <c r="AF21" s="46"/>
    </row>
    <row r="22" spans="1:32" x14ac:dyDescent="0.25">
      <c r="A22" s="35">
        <v>15</v>
      </c>
      <c r="B22" s="101"/>
      <c r="C22" s="47">
        <v>0.3888888888888889</v>
      </c>
      <c r="D22" s="69"/>
      <c r="E22" s="48"/>
      <c r="F22" s="49"/>
      <c r="G22" s="49"/>
      <c r="H22" s="49"/>
      <c r="I22" s="50"/>
      <c r="J22" s="49"/>
      <c r="K22" s="49"/>
      <c r="L22" s="49"/>
      <c r="M22" s="50"/>
      <c r="N22" s="49"/>
      <c r="O22" s="49"/>
      <c r="P22" s="49"/>
      <c r="Q22" s="50"/>
      <c r="R22" s="49"/>
      <c r="S22" s="49"/>
      <c r="T22" s="49"/>
      <c r="U22" s="50"/>
      <c r="V22" s="49"/>
      <c r="W22" s="49"/>
      <c r="X22" s="49"/>
      <c r="Y22" s="50"/>
      <c r="Z22" s="50"/>
      <c r="AA22" s="50"/>
      <c r="AB22" s="51"/>
      <c r="AC22" s="48"/>
      <c r="AD22" s="48"/>
      <c r="AE22" s="48"/>
      <c r="AF22" s="52"/>
    </row>
    <row r="23" spans="1:32" x14ac:dyDescent="0.25">
      <c r="A23" s="35">
        <v>16</v>
      </c>
      <c r="B23" s="101"/>
      <c r="C23" s="42">
        <v>0.39583333333333331</v>
      </c>
      <c r="D23" s="67"/>
      <c r="E23" s="38"/>
      <c r="F23" s="38"/>
      <c r="G23" s="38"/>
      <c r="H23" s="38"/>
      <c r="I23" s="39"/>
      <c r="J23" s="38"/>
      <c r="K23" s="38"/>
      <c r="L23" s="38"/>
      <c r="M23" s="39"/>
      <c r="N23" s="38"/>
      <c r="O23" s="38"/>
      <c r="P23" s="38"/>
      <c r="Q23" s="39"/>
      <c r="R23" s="38"/>
      <c r="S23" s="38"/>
      <c r="T23" s="38"/>
      <c r="U23" s="39"/>
      <c r="V23" s="38"/>
      <c r="W23" s="38"/>
      <c r="X23" s="38"/>
      <c r="Y23" s="39"/>
      <c r="Z23" s="39"/>
      <c r="AA23" s="39"/>
      <c r="AB23" s="40"/>
      <c r="AC23" s="38"/>
      <c r="AD23" s="38"/>
      <c r="AE23" s="38"/>
      <c r="AF23" s="41"/>
    </row>
    <row r="24" spans="1:32" x14ac:dyDescent="0.25">
      <c r="A24" s="35">
        <v>17</v>
      </c>
      <c r="B24" s="101"/>
      <c r="C24" s="42">
        <v>0.40277777777777773</v>
      </c>
      <c r="D24" s="68"/>
      <c r="E24" s="43"/>
      <c r="F24" s="43"/>
      <c r="G24" s="43"/>
      <c r="H24" s="43"/>
      <c r="I24" s="44"/>
      <c r="J24" s="43"/>
      <c r="K24" s="43"/>
      <c r="L24" s="43"/>
      <c r="M24" s="44"/>
      <c r="N24" s="43"/>
      <c r="O24" s="43"/>
      <c r="P24" s="43"/>
      <c r="Q24" s="44"/>
      <c r="R24" s="43"/>
      <c r="S24" s="43"/>
      <c r="T24" s="43"/>
      <c r="U24" s="44"/>
      <c r="V24" s="43"/>
      <c r="W24" s="43"/>
      <c r="X24" s="43"/>
      <c r="Y24" s="44"/>
      <c r="Z24" s="44"/>
      <c r="AA24" s="44"/>
      <c r="AB24" s="45"/>
      <c r="AC24" s="43"/>
      <c r="AD24" s="43"/>
      <c r="AE24" s="43"/>
      <c r="AF24" s="46"/>
    </row>
    <row r="25" spans="1:32" x14ac:dyDescent="0.25">
      <c r="A25" s="35">
        <v>18</v>
      </c>
      <c r="B25" s="102"/>
      <c r="C25" s="42">
        <v>0.40972222222222227</v>
      </c>
      <c r="D25" s="55"/>
      <c r="E25" s="48"/>
      <c r="F25" s="49"/>
      <c r="G25" s="49"/>
      <c r="H25" s="49"/>
      <c r="I25" s="50"/>
      <c r="J25" s="49"/>
      <c r="K25" s="49"/>
      <c r="L25" s="49"/>
      <c r="M25" s="50"/>
      <c r="N25" s="49"/>
      <c r="O25" s="49"/>
      <c r="P25" s="49"/>
      <c r="Q25" s="50"/>
      <c r="R25" s="49"/>
      <c r="S25" s="49"/>
      <c r="T25" s="49"/>
      <c r="U25" s="50"/>
      <c r="V25" s="49"/>
      <c r="W25" s="49"/>
      <c r="X25" s="49"/>
      <c r="Y25" s="50"/>
      <c r="Z25" s="50"/>
      <c r="AA25" s="50"/>
      <c r="AB25" s="51"/>
      <c r="AC25" s="48"/>
      <c r="AD25" s="48"/>
      <c r="AE25" s="48"/>
      <c r="AF25" s="52"/>
    </row>
    <row r="26" spans="1:32" x14ac:dyDescent="0.25">
      <c r="A26" s="35">
        <v>19</v>
      </c>
      <c r="B26" s="100">
        <v>0.41666666666666702</v>
      </c>
      <c r="C26" s="36">
        <v>0.41666666666666669</v>
      </c>
      <c r="D26" s="70"/>
      <c r="E26" s="38"/>
      <c r="F26" s="38"/>
      <c r="G26" s="38"/>
      <c r="H26" s="38"/>
      <c r="I26" s="39"/>
      <c r="J26" s="38"/>
      <c r="K26" s="38"/>
      <c r="L26" s="38"/>
      <c r="M26" s="39"/>
      <c r="N26" s="38"/>
      <c r="O26" s="38"/>
      <c r="P26" s="38"/>
      <c r="Q26" s="39"/>
      <c r="R26" s="38"/>
      <c r="S26" s="38"/>
      <c r="T26" s="38"/>
      <c r="U26" s="39"/>
      <c r="V26" s="38"/>
      <c r="W26" s="38"/>
      <c r="X26" s="38"/>
      <c r="Y26" s="39"/>
      <c r="Z26" s="39"/>
      <c r="AA26" s="39"/>
      <c r="AB26" s="40"/>
      <c r="AC26" s="38"/>
      <c r="AD26" s="38"/>
      <c r="AE26" s="38"/>
      <c r="AF26" s="41"/>
    </row>
    <row r="27" spans="1:32" x14ac:dyDescent="0.25">
      <c r="A27" s="35">
        <v>20</v>
      </c>
      <c r="B27" s="101"/>
      <c r="C27" s="42">
        <v>0.4236111111111111</v>
      </c>
      <c r="D27" s="68"/>
      <c r="E27" s="43"/>
      <c r="F27" s="43"/>
      <c r="G27" s="43"/>
      <c r="H27" s="43"/>
      <c r="I27" s="44"/>
      <c r="J27" s="43"/>
      <c r="K27" s="43"/>
      <c r="L27" s="43"/>
      <c r="M27" s="44"/>
      <c r="N27" s="43"/>
      <c r="O27" s="43"/>
      <c r="P27" s="43"/>
      <c r="Q27" s="44"/>
      <c r="R27" s="43"/>
      <c r="S27" s="43"/>
      <c r="T27" s="43"/>
      <c r="U27" s="44"/>
      <c r="V27" s="43"/>
      <c r="W27" s="43"/>
      <c r="X27" s="43"/>
      <c r="Y27" s="44"/>
      <c r="Z27" s="44"/>
      <c r="AA27" s="44"/>
      <c r="AB27" s="45"/>
      <c r="AC27" s="43"/>
      <c r="AD27" s="43"/>
      <c r="AE27" s="43"/>
      <c r="AF27" s="46"/>
    </row>
    <row r="28" spans="1:32" x14ac:dyDescent="0.25">
      <c r="A28" s="35">
        <v>21</v>
      </c>
      <c r="B28" s="101"/>
      <c r="C28" s="47">
        <v>0.43055555555555558</v>
      </c>
      <c r="D28" s="69"/>
      <c r="E28" s="48"/>
      <c r="F28" s="49"/>
      <c r="G28" s="49"/>
      <c r="H28" s="49"/>
      <c r="I28" s="50"/>
      <c r="J28" s="49"/>
      <c r="K28" s="49"/>
      <c r="L28" s="49"/>
      <c r="M28" s="50"/>
      <c r="N28" s="49"/>
      <c r="O28" s="49"/>
      <c r="P28" s="49"/>
      <c r="Q28" s="50"/>
      <c r="R28" s="49"/>
      <c r="S28" s="49"/>
      <c r="T28" s="49"/>
      <c r="U28" s="50"/>
      <c r="V28" s="49"/>
      <c r="W28" s="49"/>
      <c r="X28" s="49"/>
      <c r="Y28" s="50"/>
      <c r="Z28" s="50"/>
      <c r="AA28" s="50"/>
      <c r="AB28" s="51"/>
      <c r="AC28" s="48"/>
      <c r="AD28" s="48"/>
      <c r="AE28" s="48"/>
      <c r="AF28" s="52"/>
    </row>
    <row r="29" spans="1:32" x14ac:dyDescent="0.25">
      <c r="A29" s="35">
        <v>22</v>
      </c>
      <c r="B29" s="101"/>
      <c r="C29" s="42">
        <v>0.4375</v>
      </c>
      <c r="D29" s="67"/>
      <c r="E29" s="38"/>
      <c r="F29" s="38"/>
      <c r="G29" s="38"/>
      <c r="H29" s="38"/>
      <c r="I29" s="39"/>
      <c r="J29" s="38"/>
      <c r="K29" s="38"/>
      <c r="L29" s="38"/>
      <c r="M29" s="39"/>
      <c r="N29" s="38"/>
      <c r="O29" s="38"/>
      <c r="P29" s="38"/>
      <c r="Q29" s="39"/>
      <c r="R29" s="38"/>
      <c r="S29" s="38"/>
      <c r="T29" s="38"/>
      <c r="U29" s="39"/>
      <c r="V29" s="38"/>
      <c r="W29" s="38"/>
      <c r="X29" s="38"/>
      <c r="Y29" s="39"/>
      <c r="Z29" s="39"/>
      <c r="AA29" s="39"/>
      <c r="AB29" s="40"/>
      <c r="AC29" s="38"/>
      <c r="AD29" s="38"/>
      <c r="AE29" s="38"/>
      <c r="AF29" s="41"/>
    </row>
    <row r="30" spans="1:32" x14ac:dyDescent="0.25">
      <c r="A30" s="35">
        <v>23</v>
      </c>
      <c r="B30" s="101"/>
      <c r="C30" s="42">
        <v>0.44444444444444442</v>
      </c>
      <c r="D30" s="68"/>
      <c r="E30" s="43"/>
      <c r="F30" s="43"/>
      <c r="G30" s="43"/>
      <c r="H30" s="43"/>
      <c r="I30" s="44"/>
      <c r="J30" s="43"/>
      <c r="K30" s="43"/>
      <c r="L30" s="43"/>
      <c r="M30" s="44"/>
      <c r="N30" s="43"/>
      <c r="O30" s="43"/>
      <c r="P30" s="43"/>
      <c r="Q30" s="44"/>
      <c r="R30" s="43"/>
      <c r="S30" s="43"/>
      <c r="T30" s="43"/>
      <c r="U30" s="44"/>
      <c r="V30" s="43"/>
      <c r="W30" s="43"/>
      <c r="X30" s="43"/>
      <c r="Y30" s="44"/>
      <c r="Z30" s="44"/>
      <c r="AA30" s="44"/>
      <c r="AB30" s="45"/>
      <c r="AC30" s="43"/>
      <c r="AD30" s="43"/>
      <c r="AE30" s="43"/>
      <c r="AF30" s="46"/>
    </row>
    <row r="31" spans="1:32" x14ac:dyDescent="0.25">
      <c r="A31" s="35">
        <v>24</v>
      </c>
      <c r="B31" s="102"/>
      <c r="C31" s="42">
        <v>0.4513888888888889</v>
      </c>
      <c r="D31" s="55"/>
      <c r="E31" s="48"/>
      <c r="F31" s="49"/>
      <c r="G31" s="49"/>
      <c r="H31" s="49"/>
      <c r="I31" s="50"/>
      <c r="J31" s="49"/>
      <c r="K31" s="49"/>
      <c r="L31" s="49"/>
      <c r="M31" s="50"/>
      <c r="N31" s="49"/>
      <c r="O31" s="49"/>
      <c r="P31" s="49"/>
      <c r="Q31" s="50"/>
      <c r="R31" s="49"/>
      <c r="S31" s="49"/>
      <c r="T31" s="49"/>
      <c r="U31" s="50"/>
      <c r="V31" s="49"/>
      <c r="W31" s="49"/>
      <c r="X31" s="49"/>
      <c r="Y31" s="50"/>
      <c r="Z31" s="50"/>
      <c r="AA31" s="50"/>
      <c r="AB31" s="51"/>
      <c r="AC31" s="48"/>
      <c r="AD31" s="48"/>
      <c r="AE31" s="48"/>
      <c r="AF31" s="52"/>
    </row>
    <row r="32" spans="1:32" x14ac:dyDescent="0.25">
      <c r="A32" s="35">
        <v>25</v>
      </c>
      <c r="B32" s="100">
        <v>0.45833333333333398</v>
      </c>
      <c r="C32" s="36">
        <v>0.45833333333333331</v>
      </c>
      <c r="D32" s="70"/>
      <c r="E32" s="38"/>
      <c r="F32" s="38"/>
      <c r="G32" s="38"/>
      <c r="H32" s="38"/>
      <c r="I32" s="39"/>
      <c r="J32" s="38"/>
      <c r="K32" s="38"/>
      <c r="L32" s="38"/>
      <c r="M32" s="39"/>
      <c r="N32" s="38"/>
      <c r="O32" s="38"/>
      <c r="P32" s="38"/>
      <c r="Q32" s="39"/>
      <c r="R32" s="38"/>
      <c r="S32" s="38"/>
      <c r="T32" s="38"/>
      <c r="U32" s="39"/>
      <c r="V32" s="38"/>
      <c r="W32" s="38"/>
      <c r="X32" s="38"/>
      <c r="Y32" s="39"/>
      <c r="Z32" s="39"/>
      <c r="AA32" s="39"/>
      <c r="AB32" s="40"/>
      <c r="AC32" s="38"/>
      <c r="AD32" s="38"/>
      <c r="AE32" s="38"/>
      <c r="AF32" s="41"/>
    </row>
    <row r="33" spans="1:78" x14ac:dyDescent="0.25">
      <c r="A33" s="35">
        <v>26</v>
      </c>
      <c r="B33" s="101"/>
      <c r="C33" s="42">
        <v>0.46527777777777773</v>
      </c>
      <c r="D33" s="68"/>
      <c r="E33" s="43"/>
      <c r="F33" s="43"/>
      <c r="G33" s="43"/>
      <c r="H33" s="43"/>
      <c r="I33" s="44"/>
      <c r="J33" s="43"/>
      <c r="K33" s="43"/>
      <c r="L33" s="43"/>
      <c r="M33" s="44"/>
      <c r="N33" s="43"/>
      <c r="O33" s="43"/>
      <c r="P33" s="43"/>
      <c r="Q33" s="44"/>
      <c r="R33" s="43"/>
      <c r="S33" s="43"/>
      <c r="T33" s="43"/>
      <c r="U33" s="44"/>
      <c r="V33" s="43"/>
      <c r="W33" s="43"/>
      <c r="X33" s="43"/>
      <c r="Y33" s="44"/>
      <c r="Z33" s="44"/>
      <c r="AA33" s="44"/>
      <c r="AB33" s="45"/>
      <c r="AC33" s="43"/>
      <c r="AD33" s="43"/>
      <c r="AE33" s="43"/>
      <c r="AF33" s="46"/>
    </row>
    <row r="34" spans="1:78" x14ac:dyDescent="0.25">
      <c r="A34" s="35">
        <v>27</v>
      </c>
      <c r="B34" s="101"/>
      <c r="C34" s="47">
        <v>0.47222222222222227</v>
      </c>
      <c r="D34" s="69"/>
      <c r="E34" s="48"/>
      <c r="F34" s="49"/>
      <c r="G34" s="49"/>
      <c r="H34" s="49"/>
      <c r="I34" s="50"/>
      <c r="J34" s="49"/>
      <c r="K34" s="49"/>
      <c r="L34" s="49"/>
      <c r="M34" s="50"/>
      <c r="N34" s="49"/>
      <c r="O34" s="49"/>
      <c r="P34" s="49"/>
      <c r="Q34" s="50"/>
      <c r="R34" s="49"/>
      <c r="S34" s="49"/>
      <c r="T34" s="49"/>
      <c r="U34" s="50"/>
      <c r="V34" s="49"/>
      <c r="W34" s="49"/>
      <c r="X34" s="49"/>
      <c r="Y34" s="50"/>
      <c r="Z34" s="50"/>
      <c r="AA34" s="50"/>
      <c r="AB34" s="51"/>
      <c r="AC34" s="48"/>
      <c r="AD34" s="48"/>
      <c r="AE34" s="48"/>
      <c r="AF34" s="52"/>
    </row>
    <row r="35" spans="1:78" x14ac:dyDescent="0.25">
      <c r="A35" s="35">
        <v>28</v>
      </c>
      <c r="B35" s="101"/>
      <c r="C35" s="42">
        <v>0.47916666666666669</v>
      </c>
      <c r="D35" s="67"/>
      <c r="E35" s="38"/>
      <c r="F35" s="38"/>
      <c r="G35" s="38"/>
      <c r="H35" s="38"/>
      <c r="I35" s="39"/>
      <c r="J35" s="38"/>
      <c r="K35" s="38"/>
      <c r="L35" s="38"/>
      <c r="M35" s="39"/>
      <c r="N35" s="38"/>
      <c r="O35" s="38"/>
      <c r="P35" s="38"/>
      <c r="Q35" s="39"/>
      <c r="R35" s="38"/>
      <c r="S35" s="38"/>
      <c r="T35" s="38"/>
      <c r="U35" s="39"/>
      <c r="V35" s="38"/>
      <c r="W35" s="38"/>
      <c r="X35" s="38"/>
      <c r="Y35" s="39"/>
      <c r="Z35" s="39"/>
      <c r="AA35" s="39"/>
      <c r="AB35" s="40"/>
      <c r="AC35" s="38"/>
      <c r="AD35" s="38"/>
      <c r="AE35" s="38"/>
      <c r="AF35" s="41"/>
    </row>
    <row r="36" spans="1:78" x14ac:dyDescent="0.25">
      <c r="A36" s="35">
        <v>29</v>
      </c>
      <c r="B36" s="101"/>
      <c r="C36" s="56">
        <v>0.4861111111111111</v>
      </c>
      <c r="D36" s="71" t="s">
        <v>11</v>
      </c>
      <c r="E36" s="43"/>
      <c r="F36" s="43"/>
      <c r="G36" s="43"/>
      <c r="H36" s="43"/>
      <c r="I36" s="44"/>
      <c r="J36" s="43"/>
      <c r="K36" s="43"/>
      <c r="L36" s="43"/>
      <c r="M36" s="44"/>
      <c r="N36" s="43"/>
      <c r="O36" s="43"/>
      <c r="P36" s="43"/>
      <c r="Q36" s="44"/>
      <c r="R36" s="43"/>
      <c r="S36" s="43"/>
      <c r="T36" s="43"/>
      <c r="U36" s="44"/>
      <c r="V36" s="43"/>
      <c r="W36" s="43"/>
      <c r="X36" s="43"/>
      <c r="Y36" s="44"/>
      <c r="Z36" s="44"/>
      <c r="AA36" s="44"/>
      <c r="AB36" s="45"/>
      <c r="AC36" s="43"/>
      <c r="AD36" s="43"/>
      <c r="AE36" s="43"/>
      <c r="AF36" s="46"/>
    </row>
    <row r="37" spans="1:78" x14ac:dyDescent="0.25">
      <c r="A37" s="35">
        <v>30</v>
      </c>
      <c r="B37" s="102"/>
      <c r="C37" s="56">
        <v>0.49305555555555558</v>
      </c>
      <c r="D37" s="72" t="s">
        <v>11</v>
      </c>
      <c r="E37" s="48"/>
      <c r="F37" s="49"/>
      <c r="G37" s="49"/>
      <c r="H37" s="49"/>
      <c r="I37" s="50"/>
      <c r="J37" s="49"/>
      <c r="K37" s="49"/>
      <c r="L37" s="49"/>
      <c r="M37" s="50"/>
      <c r="N37" s="49"/>
      <c r="O37" s="49"/>
      <c r="P37" s="49"/>
      <c r="Q37" s="50"/>
      <c r="R37" s="49"/>
      <c r="S37" s="49"/>
      <c r="T37" s="49"/>
      <c r="U37" s="50"/>
      <c r="V37" s="49"/>
      <c r="W37" s="49"/>
      <c r="X37" s="49"/>
      <c r="Y37" s="50"/>
      <c r="Z37" s="50"/>
      <c r="AA37" s="50"/>
      <c r="AB37" s="51"/>
      <c r="AC37" s="48"/>
      <c r="AD37" s="48"/>
      <c r="AE37" s="48"/>
      <c r="AF37" s="52"/>
    </row>
    <row r="38" spans="1:78" x14ac:dyDescent="0.25">
      <c r="A38" s="35">
        <v>31</v>
      </c>
      <c r="B38" s="100">
        <v>0.5</v>
      </c>
      <c r="C38" s="57">
        <v>0.5</v>
      </c>
      <c r="D38" s="73" t="s">
        <v>11</v>
      </c>
      <c r="E38" s="38"/>
      <c r="F38" s="38"/>
      <c r="G38" s="38"/>
      <c r="H38" s="38"/>
      <c r="I38" s="39"/>
      <c r="J38" s="38"/>
      <c r="K38" s="38"/>
      <c r="L38" s="38"/>
      <c r="M38" s="39"/>
      <c r="N38" s="38"/>
      <c r="O38" s="38"/>
      <c r="P38" s="38"/>
      <c r="Q38" s="39"/>
      <c r="R38" s="38"/>
      <c r="S38" s="38"/>
      <c r="T38" s="38"/>
      <c r="U38" s="39"/>
      <c r="V38" s="38"/>
      <c r="W38" s="38"/>
      <c r="X38" s="38"/>
      <c r="Y38" s="39"/>
      <c r="Z38" s="39"/>
      <c r="AA38" s="39"/>
      <c r="AB38" s="40"/>
      <c r="AC38" s="38"/>
      <c r="AD38" s="38"/>
      <c r="AE38" s="38"/>
      <c r="AF38" s="41"/>
    </row>
    <row r="39" spans="1:78" x14ac:dyDescent="0.25">
      <c r="A39" s="35">
        <v>32</v>
      </c>
      <c r="B39" s="101"/>
      <c r="C39" s="56">
        <v>0.50694444444444442</v>
      </c>
      <c r="D39" s="71" t="s">
        <v>11</v>
      </c>
      <c r="E39" s="43"/>
      <c r="F39" s="43"/>
      <c r="G39" s="43"/>
      <c r="H39" s="43"/>
      <c r="I39" s="44"/>
      <c r="J39" s="43"/>
      <c r="K39" s="43"/>
      <c r="L39" s="43"/>
      <c r="M39" s="44"/>
      <c r="N39" s="43"/>
      <c r="O39" s="43"/>
      <c r="P39" s="43"/>
      <c r="Q39" s="44"/>
      <c r="R39" s="43"/>
      <c r="S39" s="43"/>
      <c r="T39" s="43"/>
      <c r="U39" s="44"/>
      <c r="V39" s="43"/>
      <c r="W39" s="43"/>
      <c r="X39" s="43"/>
      <c r="Y39" s="44"/>
      <c r="Z39" s="44"/>
      <c r="AA39" s="44"/>
      <c r="AB39" s="45"/>
      <c r="AC39" s="43"/>
      <c r="AD39" s="43"/>
      <c r="AE39" s="43"/>
      <c r="AF39" s="46"/>
    </row>
    <row r="40" spans="1:78" x14ac:dyDescent="0.25">
      <c r="A40" s="35">
        <v>33</v>
      </c>
      <c r="B40" s="101"/>
      <c r="C40" s="47">
        <v>0.51388888888888895</v>
      </c>
      <c r="D40" s="69"/>
      <c r="E40" s="48"/>
      <c r="F40" s="49"/>
      <c r="G40" s="49"/>
      <c r="H40" s="49"/>
      <c r="I40" s="50"/>
      <c r="J40" s="49"/>
      <c r="K40" s="49"/>
      <c r="L40" s="49"/>
      <c r="M40" s="50"/>
      <c r="N40" s="49"/>
      <c r="O40" s="49"/>
      <c r="P40" s="49"/>
      <c r="Q40" s="50"/>
      <c r="R40" s="49"/>
      <c r="S40" s="49"/>
      <c r="T40" s="49"/>
      <c r="U40" s="50"/>
      <c r="V40" s="49"/>
      <c r="W40" s="49"/>
      <c r="X40" s="49"/>
      <c r="Y40" s="50"/>
      <c r="Z40" s="50"/>
      <c r="AA40" s="50"/>
      <c r="AB40" s="51"/>
      <c r="AC40" s="48"/>
      <c r="AD40" s="48"/>
      <c r="AE40" s="48"/>
      <c r="AF40" s="52"/>
    </row>
    <row r="41" spans="1:78" x14ac:dyDescent="0.25">
      <c r="A41" s="35">
        <v>34</v>
      </c>
      <c r="B41" s="101"/>
      <c r="C41" s="42">
        <v>0.52083333333333337</v>
      </c>
      <c r="D41" s="67"/>
      <c r="E41" s="38"/>
      <c r="F41" s="38"/>
      <c r="G41" s="38"/>
      <c r="H41" s="38"/>
      <c r="I41" s="39"/>
      <c r="J41" s="38"/>
      <c r="K41" s="38"/>
      <c r="L41" s="38"/>
      <c r="M41" s="39"/>
      <c r="N41" s="38"/>
      <c r="O41" s="38"/>
      <c r="P41" s="38"/>
      <c r="Q41" s="39"/>
      <c r="R41" s="38"/>
      <c r="S41" s="38"/>
      <c r="T41" s="38"/>
      <c r="U41" s="39"/>
      <c r="V41" s="38"/>
      <c r="W41" s="38"/>
      <c r="X41" s="38"/>
      <c r="Y41" s="39"/>
      <c r="Z41" s="39"/>
      <c r="AA41" s="39"/>
      <c r="AB41" s="40"/>
      <c r="AC41" s="38"/>
      <c r="AD41" s="38"/>
      <c r="AE41" s="38"/>
      <c r="AF41" s="41"/>
    </row>
    <row r="42" spans="1:78" x14ac:dyDescent="0.25">
      <c r="A42" s="35">
        <v>35</v>
      </c>
      <c r="B42" s="101"/>
      <c r="C42" s="42">
        <v>0.52777777777777779</v>
      </c>
      <c r="D42" s="68"/>
      <c r="E42" s="43"/>
      <c r="F42" s="43"/>
      <c r="G42" s="43"/>
      <c r="H42" s="43"/>
      <c r="I42" s="44"/>
      <c r="J42" s="43"/>
      <c r="K42" s="43"/>
      <c r="L42" s="43"/>
      <c r="M42" s="44"/>
      <c r="N42" s="43"/>
      <c r="O42" s="43"/>
      <c r="P42" s="43"/>
      <c r="Q42" s="44"/>
      <c r="R42" s="43"/>
      <c r="S42" s="43"/>
      <c r="T42" s="43"/>
      <c r="U42" s="44"/>
      <c r="V42" s="43"/>
      <c r="W42" s="43"/>
      <c r="X42" s="43"/>
      <c r="Y42" s="44"/>
      <c r="Z42" s="44"/>
      <c r="AA42" s="44"/>
      <c r="AB42" s="45"/>
      <c r="AC42" s="43"/>
      <c r="AD42" s="43"/>
      <c r="AE42" s="43"/>
      <c r="AF42" s="46"/>
    </row>
    <row r="43" spans="1:78" x14ac:dyDescent="0.25">
      <c r="A43" s="35">
        <v>36</v>
      </c>
      <c r="B43" s="102"/>
      <c r="C43" s="42">
        <v>0.53472222222222221</v>
      </c>
      <c r="D43" s="55"/>
      <c r="E43" s="48"/>
      <c r="F43" s="49"/>
      <c r="G43" s="49"/>
      <c r="H43" s="49"/>
      <c r="I43" s="50"/>
      <c r="J43" s="49"/>
      <c r="K43" s="49"/>
      <c r="L43" s="49"/>
      <c r="M43" s="50"/>
      <c r="N43" s="49"/>
      <c r="O43" s="49"/>
      <c r="P43" s="49"/>
      <c r="Q43" s="50"/>
      <c r="R43" s="49"/>
      <c r="S43" s="49"/>
      <c r="T43" s="49"/>
      <c r="U43" s="50"/>
      <c r="V43" s="49"/>
      <c r="W43" s="49"/>
      <c r="X43" s="49"/>
      <c r="Y43" s="50"/>
      <c r="Z43" s="50"/>
      <c r="AA43" s="50"/>
      <c r="AB43" s="51"/>
      <c r="AC43" s="48"/>
      <c r="AD43" s="48"/>
      <c r="AE43" s="48"/>
      <c r="AF43" s="52"/>
    </row>
    <row r="44" spans="1:78" x14ac:dyDescent="0.25">
      <c r="A44" s="35">
        <v>37</v>
      </c>
      <c r="B44" s="100">
        <v>0.54166666666666696</v>
      </c>
      <c r="C44" s="36">
        <v>0.54166666666666663</v>
      </c>
      <c r="D44" s="70"/>
      <c r="E44" s="38"/>
      <c r="F44" s="38"/>
      <c r="G44" s="38"/>
      <c r="H44" s="38"/>
      <c r="I44" s="39"/>
      <c r="J44" s="38"/>
      <c r="K44" s="38"/>
      <c r="L44" s="38"/>
      <c r="M44" s="39"/>
      <c r="N44" s="38"/>
      <c r="O44" s="38"/>
      <c r="P44" s="38"/>
      <c r="Q44" s="39"/>
      <c r="R44" s="38"/>
      <c r="S44" s="38"/>
      <c r="T44" s="38"/>
      <c r="U44" s="39"/>
      <c r="V44" s="38"/>
      <c r="W44" s="38"/>
      <c r="X44" s="38"/>
      <c r="Y44" s="39"/>
      <c r="Z44" s="39"/>
      <c r="AA44" s="39"/>
      <c r="AB44" s="40"/>
      <c r="AC44" s="38"/>
      <c r="AD44" s="38"/>
      <c r="AE44" s="38"/>
      <c r="AF44" s="41"/>
    </row>
    <row r="45" spans="1:78" x14ac:dyDescent="0.25">
      <c r="A45" s="35">
        <v>38</v>
      </c>
      <c r="B45" s="101"/>
      <c r="C45" s="42">
        <v>0.54861111111111105</v>
      </c>
      <c r="D45" s="68"/>
      <c r="E45" s="43"/>
      <c r="F45" s="43"/>
      <c r="G45" s="43"/>
      <c r="H45" s="43"/>
      <c r="I45" s="44"/>
      <c r="J45" s="43"/>
      <c r="K45" s="43"/>
      <c r="L45" s="43"/>
      <c r="M45" s="44"/>
      <c r="N45" s="43"/>
      <c r="O45" s="43"/>
      <c r="P45" s="43"/>
      <c r="Q45" s="44"/>
      <c r="R45" s="43"/>
      <c r="S45" s="43"/>
      <c r="T45" s="43"/>
      <c r="U45" s="44"/>
      <c r="V45" s="43"/>
      <c r="W45" s="43"/>
      <c r="X45" s="43"/>
      <c r="Y45" s="44"/>
      <c r="Z45" s="44"/>
      <c r="AA45" s="44"/>
      <c r="AB45" s="45"/>
      <c r="AC45" s="43"/>
      <c r="AD45" s="43"/>
      <c r="AE45" s="43"/>
      <c r="AF45" s="46"/>
    </row>
    <row r="46" spans="1:78" x14ac:dyDescent="0.25">
      <c r="A46" s="35">
        <v>39</v>
      </c>
      <c r="B46" s="101"/>
      <c r="C46" s="47">
        <v>0.55555555555555558</v>
      </c>
      <c r="D46" s="69"/>
      <c r="E46" s="48"/>
      <c r="F46" s="49"/>
      <c r="G46" s="49"/>
      <c r="H46" s="49"/>
      <c r="I46" s="50"/>
      <c r="J46" s="49"/>
      <c r="K46" s="49"/>
      <c r="L46" s="49"/>
      <c r="M46" s="50"/>
      <c r="N46" s="49"/>
      <c r="O46" s="49"/>
      <c r="P46" s="49"/>
      <c r="Q46" s="50"/>
      <c r="R46" s="49"/>
      <c r="S46" s="49"/>
      <c r="T46" s="49"/>
      <c r="U46" s="50"/>
      <c r="V46" s="49"/>
      <c r="W46" s="49"/>
      <c r="X46" s="49"/>
      <c r="Y46" s="50"/>
      <c r="Z46" s="50"/>
      <c r="AA46" s="50"/>
      <c r="AB46" s="51"/>
      <c r="AC46" s="48"/>
      <c r="AD46" s="48"/>
      <c r="AE46" s="48"/>
      <c r="AF46" s="52"/>
      <c r="BZ46" s="78"/>
    </row>
    <row r="47" spans="1:78" x14ac:dyDescent="0.25">
      <c r="A47" s="35">
        <v>40</v>
      </c>
      <c r="B47" s="101"/>
      <c r="C47" s="42">
        <v>0.5625</v>
      </c>
      <c r="D47" s="67"/>
      <c r="E47" s="38"/>
      <c r="F47" s="38"/>
      <c r="G47" s="38"/>
      <c r="H47" s="38"/>
      <c r="I47" s="39"/>
      <c r="J47" s="38"/>
      <c r="K47" s="38"/>
      <c r="L47" s="38"/>
      <c r="M47" s="39"/>
      <c r="N47" s="38"/>
      <c r="O47" s="38"/>
      <c r="P47" s="38"/>
      <c r="Q47" s="39"/>
      <c r="R47" s="38"/>
      <c r="S47" s="38"/>
      <c r="T47" s="38"/>
      <c r="U47" s="39"/>
      <c r="V47" s="38"/>
      <c r="W47" s="38"/>
      <c r="X47" s="38"/>
      <c r="Y47" s="39"/>
      <c r="Z47" s="39"/>
      <c r="AA47" s="39"/>
      <c r="AB47" s="40"/>
      <c r="AC47" s="38"/>
      <c r="AD47" s="38"/>
      <c r="AE47" s="38"/>
      <c r="AF47" s="41"/>
    </row>
    <row r="48" spans="1:78" x14ac:dyDescent="0.25">
      <c r="A48" s="35">
        <v>41</v>
      </c>
      <c r="B48" s="101"/>
      <c r="C48" s="42">
        <v>0.56944444444444442</v>
      </c>
      <c r="D48" s="68"/>
      <c r="E48" s="43"/>
      <c r="F48" s="43"/>
      <c r="G48" s="43"/>
      <c r="H48" s="43"/>
      <c r="I48" s="44"/>
      <c r="J48" s="43"/>
      <c r="K48" s="43"/>
      <c r="L48" s="43"/>
      <c r="M48" s="44"/>
      <c r="N48" s="43"/>
      <c r="O48" s="43"/>
      <c r="P48" s="43"/>
      <c r="Q48" s="44"/>
      <c r="R48" s="43"/>
      <c r="S48" s="43"/>
      <c r="T48" s="43"/>
      <c r="U48" s="44"/>
      <c r="V48" s="43"/>
      <c r="W48" s="43"/>
      <c r="X48" s="43"/>
      <c r="Y48" s="44"/>
      <c r="Z48" s="44"/>
      <c r="AA48" s="44"/>
      <c r="AB48" s="45"/>
      <c r="AC48" s="43"/>
      <c r="AD48" s="43"/>
      <c r="AE48" s="43"/>
      <c r="AF48" s="46"/>
    </row>
    <row r="49" spans="1:32" x14ac:dyDescent="0.25">
      <c r="A49" s="35">
        <v>42</v>
      </c>
      <c r="B49" s="102"/>
      <c r="C49" s="42">
        <v>0.57638888888888895</v>
      </c>
      <c r="D49" s="55"/>
      <c r="E49" s="48"/>
      <c r="F49" s="49"/>
      <c r="G49" s="49"/>
      <c r="H49" s="49"/>
      <c r="I49" s="50"/>
      <c r="J49" s="49"/>
      <c r="K49" s="49"/>
      <c r="L49" s="49"/>
      <c r="M49" s="50"/>
      <c r="N49" s="49"/>
      <c r="O49" s="49"/>
      <c r="P49" s="49"/>
      <c r="Q49" s="50"/>
      <c r="R49" s="49"/>
      <c r="S49" s="49"/>
      <c r="T49" s="49"/>
      <c r="U49" s="50"/>
      <c r="V49" s="49"/>
      <c r="W49" s="49"/>
      <c r="X49" s="49"/>
      <c r="Y49" s="50"/>
      <c r="Z49" s="50"/>
      <c r="AA49" s="50"/>
      <c r="AB49" s="51"/>
      <c r="AC49" s="48"/>
      <c r="AD49" s="48"/>
      <c r="AE49" s="48"/>
      <c r="AF49" s="52"/>
    </row>
    <row r="50" spans="1:32" x14ac:dyDescent="0.25">
      <c r="A50" s="35">
        <v>43</v>
      </c>
      <c r="B50" s="100">
        <v>0.58333333333333304</v>
      </c>
      <c r="C50" s="36">
        <v>0.58333333333333337</v>
      </c>
      <c r="D50" s="70"/>
      <c r="E50" s="38"/>
      <c r="F50" s="38"/>
      <c r="G50" s="38"/>
      <c r="H50" s="38"/>
      <c r="I50" s="39"/>
      <c r="J50" s="38"/>
      <c r="K50" s="38"/>
      <c r="L50" s="38"/>
      <c r="M50" s="39"/>
      <c r="N50" s="38"/>
      <c r="O50" s="38"/>
      <c r="P50" s="38"/>
      <c r="Q50" s="39"/>
      <c r="R50" s="38"/>
      <c r="S50" s="38"/>
      <c r="T50" s="38"/>
      <c r="U50" s="39"/>
      <c r="V50" s="38"/>
      <c r="W50" s="38"/>
      <c r="X50" s="38"/>
      <c r="Y50" s="39"/>
      <c r="Z50" s="39"/>
      <c r="AA50" s="39"/>
      <c r="AB50" s="40"/>
      <c r="AC50" s="38"/>
      <c r="AD50" s="38"/>
      <c r="AE50" s="38"/>
      <c r="AF50" s="41"/>
    </row>
    <row r="51" spans="1:32" x14ac:dyDescent="0.25">
      <c r="A51" s="35">
        <v>44</v>
      </c>
      <c r="B51" s="101"/>
      <c r="C51" s="42">
        <v>0.59027777777777779</v>
      </c>
      <c r="D51" s="68"/>
      <c r="E51" s="43"/>
      <c r="F51" s="43"/>
      <c r="G51" s="43"/>
      <c r="H51" s="43"/>
      <c r="I51" s="44"/>
      <c r="J51" s="43"/>
      <c r="K51" s="43"/>
      <c r="L51" s="43"/>
      <c r="M51" s="44"/>
      <c r="N51" s="43"/>
      <c r="O51" s="43"/>
      <c r="P51" s="43"/>
      <c r="Q51" s="44"/>
      <c r="R51" s="43"/>
      <c r="S51" s="43"/>
      <c r="T51" s="43"/>
      <c r="U51" s="44"/>
      <c r="V51" s="43"/>
      <c r="W51" s="43"/>
      <c r="X51" s="43"/>
      <c r="Y51" s="44"/>
      <c r="Z51" s="44"/>
      <c r="AA51" s="44"/>
      <c r="AB51" s="45"/>
      <c r="AC51" s="43"/>
      <c r="AD51" s="43"/>
      <c r="AE51" s="43"/>
      <c r="AF51" s="46"/>
    </row>
    <row r="52" spans="1:32" x14ac:dyDescent="0.25">
      <c r="A52" s="35">
        <v>45</v>
      </c>
      <c r="B52" s="101"/>
      <c r="C52" s="58">
        <v>0.59722222222222221</v>
      </c>
      <c r="D52" s="74" t="s">
        <v>11</v>
      </c>
      <c r="E52" s="48"/>
      <c r="F52" s="49"/>
      <c r="G52" s="49"/>
      <c r="H52" s="49"/>
      <c r="I52" s="50"/>
      <c r="J52" s="49"/>
      <c r="K52" s="49"/>
      <c r="L52" s="49"/>
      <c r="M52" s="50"/>
      <c r="N52" s="49"/>
      <c r="O52" s="49"/>
      <c r="P52" s="49"/>
      <c r="Q52" s="50"/>
      <c r="R52" s="49"/>
      <c r="S52" s="49"/>
      <c r="T52" s="49"/>
      <c r="U52" s="50"/>
      <c r="V52" s="49"/>
      <c r="W52" s="49"/>
      <c r="X52" s="49"/>
      <c r="Y52" s="50"/>
      <c r="Z52" s="50"/>
      <c r="AA52" s="50"/>
      <c r="AB52" s="51"/>
      <c r="AC52" s="48"/>
      <c r="AD52" s="48"/>
      <c r="AE52" s="48"/>
      <c r="AF52" s="52"/>
    </row>
    <row r="53" spans="1:32" x14ac:dyDescent="0.25">
      <c r="A53" s="35">
        <v>46</v>
      </c>
      <c r="B53" s="101"/>
      <c r="C53" s="42">
        <v>0.60416666666666663</v>
      </c>
      <c r="D53" s="67"/>
      <c r="E53" s="38"/>
      <c r="F53" s="38"/>
      <c r="G53" s="38"/>
      <c r="H53" s="38"/>
      <c r="I53" s="39"/>
      <c r="J53" s="38"/>
      <c r="K53" s="38"/>
      <c r="L53" s="38"/>
      <c r="M53" s="39"/>
      <c r="N53" s="38"/>
      <c r="O53" s="38"/>
      <c r="P53" s="38"/>
      <c r="Q53" s="39"/>
      <c r="R53" s="38"/>
      <c r="S53" s="38"/>
      <c r="T53" s="38"/>
      <c r="U53" s="39"/>
      <c r="V53" s="38"/>
      <c r="W53" s="38"/>
      <c r="X53" s="38"/>
      <c r="Y53" s="39"/>
      <c r="Z53" s="39"/>
      <c r="AA53" s="39"/>
      <c r="AB53" s="40"/>
      <c r="AC53" s="38"/>
      <c r="AD53" s="38"/>
      <c r="AE53" s="38"/>
      <c r="AF53" s="41"/>
    </row>
    <row r="54" spans="1:32" x14ac:dyDescent="0.25">
      <c r="A54" s="35">
        <v>47</v>
      </c>
      <c r="B54" s="101"/>
      <c r="C54" s="42">
        <v>0.61111111111111105</v>
      </c>
      <c r="D54" s="68"/>
      <c r="E54" s="43"/>
      <c r="F54" s="43"/>
      <c r="G54" s="43"/>
      <c r="H54" s="43"/>
      <c r="I54" s="44"/>
      <c r="J54" s="43"/>
      <c r="K54" s="43"/>
      <c r="L54" s="43"/>
      <c r="M54" s="44"/>
      <c r="N54" s="43"/>
      <c r="O54" s="43"/>
      <c r="P54" s="43"/>
      <c r="Q54" s="44"/>
      <c r="R54" s="43"/>
      <c r="S54" s="43"/>
      <c r="T54" s="43"/>
      <c r="U54" s="44"/>
      <c r="V54" s="43"/>
      <c r="W54" s="43"/>
      <c r="X54" s="43"/>
      <c r="Y54" s="44"/>
      <c r="Z54" s="44"/>
      <c r="AA54" s="44"/>
      <c r="AB54" s="45"/>
      <c r="AC54" s="43"/>
      <c r="AD54" s="43"/>
      <c r="AE54" s="43"/>
      <c r="AF54" s="46"/>
    </row>
    <row r="55" spans="1:32" x14ac:dyDescent="0.25">
      <c r="A55" s="35">
        <v>48</v>
      </c>
      <c r="B55" s="102"/>
      <c r="C55" s="42">
        <v>0.61805555555555558</v>
      </c>
      <c r="D55" s="55"/>
      <c r="E55" s="48" t="s">
        <v>155</v>
      </c>
      <c r="F55" s="49"/>
      <c r="G55" s="49"/>
      <c r="H55" s="49"/>
      <c r="I55" s="50"/>
      <c r="J55" s="49"/>
      <c r="K55" s="49"/>
      <c r="L55" s="49"/>
      <c r="M55" s="50"/>
      <c r="N55" s="49"/>
      <c r="O55" s="49"/>
      <c r="P55" s="49"/>
      <c r="Q55" s="50"/>
      <c r="R55" s="49"/>
      <c r="S55" s="49"/>
      <c r="T55" s="49"/>
      <c r="U55" s="50"/>
      <c r="V55" s="49"/>
      <c r="W55" s="49"/>
      <c r="X55" s="49"/>
      <c r="Y55" s="50"/>
      <c r="Z55" s="50"/>
      <c r="AA55" s="50"/>
      <c r="AB55" s="51"/>
      <c r="AC55" s="48"/>
      <c r="AD55" s="48"/>
      <c r="AE55" s="48"/>
      <c r="AF55" s="52"/>
    </row>
    <row r="56" spans="1:32" x14ac:dyDescent="0.25">
      <c r="A56" s="35">
        <v>49</v>
      </c>
      <c r="B56" s="100">
        <v>0.625</v>
      </c>
      <c r="C56" s="36">
        <v>0.625</v>
      </c>
      <c r="D56" s="70"/>
      <c r="E56" s="38"/>
      <c r="F56" s="38"/>
      <c r="G56" s="38"/>
      <c r="H56" s="38"/>
      <c r="I56" s="39"/>
      <c r="J56" s="38"/>
      <c r="K56" s="38"/>
      <c r="L56" s="38"/>
      <c r="M56" s="39"/>
      <c r="N56" s="38"/>
      <c r="O56" s="38"/>
      <c r="P56" s="38"/>
      <c r="Q56" s="39"/>
      <c r="R56" s="38"/>
      <c r="S56" s="38"/>
      <c r="T56" s="38"/>
      <c r="U56" s="39"/>
      <c r="V56" s="38"/>
      <c r="W56" s="38"/>
      <c r="X56" s="38"/>
      <c r="Y56" s="39"/>
      <c r="Z56" s="39"/>
      <c r="AA56" s="39"/>
      <c r="AB56" s="40"/>
      <c r="AC56" s="38"/>
      <c r="AD56" s="38"/>
      <c r="AE56" s="38"/>
      <c r="AF56" s="41"/>
    </row>
    <row r="57" spans="1:32" x14ac:dyDescent="0.25">
      <c r="A57" s="35">
        <v>50</v>
      </c>
      <c r="B57" s="101"/>
      <c r="C57" s="42">
        <v>0.63194444444444442</v>
      </c>
      <c r="D57" s="68"/>
      <c r="E57" s="43"/>
      <c r="F57" s="43"/>
      <c r="G57" s="43"/>
      <c r="H57" s="43"/>
      <c r="I57" s="44"/>
      <c r="J57" s="43"/>
      <c r="K57" s="43"/>
      <c r="L57" s="43"/>
      <c r="M57" s="44"/>
      <c r="N57" s="43"/>
      <c r="O57" s="43"/>
      <c r="P57" s="43"/>
      <c r="Q57" s="44"/>
      <c r="R57" s="43"/>
      <c r="S57" s="43"/>
      <c r="T57" s="43"/>
      <c r="U57" s="44"/>
      <c r="V57" s="43"/>
      <c r="W57" s="43"/>
      <c r="X57" s="43"/>
      <c r="Y57" s="44"/>
      <c r="Z57" s="44"/>
      <c r="AA57" s="44"/>
      <c r="AB57" s="45"/>
      <c r="AC57" s="43"/>
      <c r="AD57" s="43"/>
      <c r="AE57" s="43"/>
      <c r="AF57" s="46"/>
    </row>
    <row r="58" spans="1:32" x14ac:dyDescent="0.25">
      <c r="A58" s="35">
        <v>51</v>
      </c>
      <c r="B58" s="101"/>
      <c r="C58" s="47">
        <v>0.63888888888888895</v>
      </c>
      <c r="D58" s="69"/>
      <c r="E58" s="48"/>
      <c r="F58" s="49"/>
      <c r="G58" s="49"/>
      <c r="H58" s="49"/>
      <c r="I58" s="50"/>
      <c r="J58" s="49"/>
      <c r="K58" s="49"/>
      <c r="L58" s="49"/>
      <c r="M58" s="50"/>
      <c r="N58" s="49"/>
      <c r="O58" s="49"/>
      <c r="P58" s="49"/>
      <c r="Q58" s="50"/>
      <c r="R58" s="49"/>
      <c r="S58" s="49"/>
      <c r="T58" s="49"/>
      <c r="U58" s="50"/>
      <c r="V58" s="49"/>
      <c r="W58" s="49"/>
      <c r="X58" s="49"/>
      <c r="Y58" s="50"/>
      <c r="Z58" s="50"/>
      <c r="AA58" s="50"/>
      <c r="AB58" s="51"/>
      <c r="AC58" s="48"/>
      <c r="AD58" s="48"/>
      <c r="AE58" s="48"/>
      <c r="AF58" s="52"/>
    </row>
    <row r="59" spans="1:32" x14ac:dyDescent="0.25">
      <c r="A59" s="35">
        <v>52</v>
      </c>
      <c r="B59" s="101"/>
      <c r="C59" s="42">
        <v>0.64583333333333337</v>
      </c>
      <c r="D59" s="67"/>
      <c r="E59" s="38"/>
      <c r="F59" s="38"/>
      <c r="G59" s="38"/>
      <c r="H59" s="38"/>
      <c r="I59" s="39"/>
      <c r="J59" s="38"/>
      <c r="K59" s="38"/>
      <c r="L59" s="38"/>
      <c r="M59" s="39"/>
      <c r="N59" s="38"/>
      <c r="O59" s="38"/>
      <c r="P59" s="38"/>
      <c r="Q59" s="39"/>
      <c r="R59" s="38"/>
      <c r="S59" s="38"/>
      <c r="T59" s="38"/>
      <c r="U59" s="39"/>
      <c r="V59" s="38"/>
      <c r="W59" s="38"/>
      <c r="X59" s="38"/>
      <c r="Y59" s="39"/>
      <c r="Z59" s="39"/>
      <c r="AA59" s="39"/>
      <c r="AB59" s="40"/>
      <c r="AC59" s="38"/>
      <c r="AD59" s="38"/>
      <c r="AE59" s="38"/>
      <c r="AF59" s="41"/>
    </row>
    <row r="60" spans="1:32" x14ac:dyDescent="0.25">
      <c r="A60" s="35">
        <v>53</v>
      </c>
      <c r="B60" s="101"/>
      <c r="C60" s="56">
        <v>0.65277777777777779</v>
      </c>
      <c r="D60" s="75" t="s">
        <v>11</v>
      </c>
      <c r="E60" s="43"/>
      <c r="F60" s="43"/>
      <c r="G60" s="43"/>
      <c r="H60" s="43"/>
      <c r="I60" s="44"/>
      <c r="J60" s="43"/>
      <c r="K60" s="43"/>
      <c r="L60" s="43"/>
      <c r="M60" s="44"/>
      <c r="N60" s="43"/>
      <c r="O60" s="43"/>
      <c r="P60" s="43"/>
      <c r="Q60" s="44"/>
      <c r="R60" s="43"/>
      <c r="S60" s="43"/>
      <c r="T60" s="43"/>
      <c r="U60" s="44"/>
      <c r="V60" s="43"/>
      <c r="W60" s="43"/>
      <c r="X60" s="43"/>
      <c r="Y60" s="44"/>
      <c r="Z60" s="44"/>
      <c r="AA60" s="44"/>
      <c r="AB60" s="45"/>
      <c r="AC60" s="43"/>
      <c r="AD60" s="43"/>
      <c r="AE60" s="43"/>
      <c r="AF60" s="46"/>
    </row>
    <row r="61" spans="1:32" x14ac:dyDescent="0.25">
      <c r="A61" s="35">
        <v>54</v>
      </c>
      <c r="B61" s="102"/>
      <c r="C61" s="42">
        <v>0.65972222222222221</v>
      </c>
      <c r="D61" s="55"/>
      <c r="E61" s="48"/>
      <c r="F61" s="49"/>
      <c r="G61" s="49"/>
      <c r="H61" s="49"/>
      <c r="I61" s="50"/>
      <c r="J61" s="49"/>
      <c r="K61" s="49"/>
      <c r="L61" s="49"/>
      <c r="M61" s="50"/>
      <c r="N61" s="49"/>
      <c r="O61" s="49"/>
      <c r="P61" s="49"/>
      <c r="Q61" s="50"/>
      <c r="R61" s="49"/>
      <c r="S61" s="49"/>
      <c r="T61" s="49"/>
      <c r="U61" s="50"/>
      <c r="V61" s="49"/>
      <c r="W61" s="49"/>
      <c r="X61" s="49"/>
      <c r="Y61" s="50"/>
      <c r="Z61" s="50"/>
      <c r="AA61" s="50"/>
      <c r="AB61" s="51"/>
      <c r="AC61" s="48"/>
      <c r="AD61" s="48"/>
      <c r="AE61" s="48"/>
      <c r="AF61" s="52"/>
    </row>
    <row r="62" spans="1:32" x14ac:dyDescent="0.25">
      <c r="A62" s="35">
        <v>55</v>
      </c>
      <c r="B62" s="100">
        <v>0.66666666666666696</v>
      </c>
      <c r="C62" s="36">
        <v>0.66666666666666663</v>
      </c>
      <c r="D62" s="70"/>
      <c r="E62" s="38"/>
      <c r="F62" s="38"/>
      <c r="G62" s="38"/>
      <c r="H62" s="38"/>
      <c r="I62" s="39"/>
      <c r="J62" s="38"/>
      <c r="K62" s="38"/>
      <c r="L62" s="38"/>
      <c r="M62" s="39"/>
      <c r="N62" s="38"/>
      <c r="O62" s="38"/>
      <c r="P62" s="38"/>
      <c r="Q62" s="39"/>
      <c r="R62" s="38"/>
      <c r="S62" s="38"/>
      <c r="T62" s="38"/>
      <c r="U62" s="39"/>
      <c r="V62" s="38"/>
      <c r="W62" s="38"/>
      <c r="X62" s="38"/>
      <c r="Y62" s="39"/>
      <c r="Z62" s="39"/>
      <c r="AA62" s="39"/>
      <c r="AB62" s="40"/>
      <c r="AC62" s="38"/>
      <c r="AD62" s="38"/>
      <c r="AE62" s="38"/>
      <c r="AF62" s="41"/>
    </row>
    <row r="63" spans="1:32" x14ac:dyDescent="0.25">
      <c r="A63" s="35">
        <v>56</v>
      </c>
      <c r="B63" s="101"/>
      <c r="C63" s="42">
        <v>0.67361111111111116</v>
      </c>
      <c r="D63" s="68"/>
      <c r="E63" s="43"/>
      <c r="F63" s="43"/>
      <c r="G63" s="43"/>
      <c r="H63" s="43"/>
      <c r="I63" s="44"/>
      <c r="J63" s="43"/>
      <c r="K63" s="43"/>
      <c r="L63" s="43"/>
      <c r="M63" s="44"/>
      <c r="N63" s="43"/>
      <c r="O63" s="43"/>
      <c r="P63" s="43"/>
      <c r="Q63" s="44"/>
      <c r="R63" s="43"/>
      <c r="S63" s="43"/>
      <c r="T63" s="43"/>
      <c r="U63" s="44"/>
      <c r="V63" s="43"/>
      <c r="W63" s="43"/>
      <c r="X63" s="43"/>
      <c r="Y63" s="44"/>
      <c r="Z63" s="44"/>
      <c r="AA63" s="44"/>
      <c r="AB63" s="45"/>
      <c r="AC63" s="43"/>
      <c r="AD63" s="43"/>
      <c r="AE63" s="43"/>
      <c r="AF63" s="46"/>
    </row>
    <row r="64" spans="1:32" x14ac:dyDescent="0.25">
      <c r="A64" s="35">
        <v>57</v>
      </c>
      <c r="B64" s="101"/>
      <c r="C64" s="47">
        <v>0.68055555555555547</v>
      </c>
      <c r="D64" s="69"/>
      <c r="E64" s="48"/>
      <c r="F64" s="49"/>
      <c r="G64" s="49"/>
      <c r="H64" s="49"/>
      <c r="I64" s="50"/>
      <c r="J64" s="49"/>
      <c r="K64" s="49"/>
      <c r="L64" s="49"/>
      <c r="M64" s="50"/>
      <c r="N64" s="49"/>
      <c r="O64" s="49"/>
      <c r="P64" s="49"/>
      <c r="Q64" s="50"/>
      <c r="R64" s="49"/>
      <c r="S64" s="49"/>
      <c r="T64" s="49"/>
      <c r="U64" s="50"/>
      <c r="V64" s="49"/>
      <c r="W64" s="49"/>
      <c r="X64" s="49"/>
      <c r="Y64" s="50"/>
      <c r="Z64" s="50"/>
      <c r="AA64" s="50"/>
      <c r="AB64" s="51"/>
      <c r="AC64" s="48"/>
      <c r="AD64" s="48"/>
      <c r="AE64" s="48"/>
      <c r="AF64" s="52"/>
    </row>
    <row r="65" spans="1:32" x14ac:dyDescent="0.25">
      <c r="A65" s="35">
        <v>58</v>
      </c>
      <c r="B65" s="101"/>
      <c r="C65" s="42">
        <v>0.6875</v>
      </c>
      <c r="D65" s="67"/>
      <c r="E65" s="38"/>
      <c r="F65" s="38"/>
      <c r="G65" s="38"/>
      <c r="H65" s="38"/>
      <c r="I65" s="39"/>
      <c r="J65" s="38"/>
      <c r="K65" s="38"/>
      <c r="L65" s="38"/>
      <c r="M65" s="39"/>
      <c r="N65" s="38"/>
      <c r="O65" s="38"/>
      <c r="P65" s="38"/>
      <c r="Q65" s="39"/>
      <c r="R65" s="38"/>
      <c r="S65" s="38"/>
      <c r="T65" s="38"/>
      <c r="U65" s="39"/>
      <c r="V65" s="38"/>
      <c r="W65" s="38"/>
      <c r="X65" s="38"/>
      <c r="Y65" s="39"/>
      <c r="Z65" s="39"/>
      <c r="AA65" s="39"/>
      <c r="AB65" s="40"/>
      <c r="AC65" s="38"/>
      <c r="AD65" s="38"/>
      <c r="AE65" s="38"/>
      <c r="AF65" s="41"/>
    </row>
    <row r="66" spans="1:32" x14ac:dyDescent="0.25">
      <c r="A66" s="35">
        <v>59</v>
      </c>
      <c r="B66" s="101"/>
      <c r="C66" s="42">
        <v>0.69444444444444453</v>
      </c>
      <c r="D66" s="68"/>
      <c r="E66" s="43"/>
      <c r="F66" s="43"/>
      <c r="G66" s="43"/>
      <c r="H66" s="43"/>
      <c r="I66" s="44"/>
      <c r="J66" s="43"/>
      <c r="K66" s="43"/>
      <c r="L66" s="43"/>
      <c r="M66" s="44"/>
      <c r="N66" s="43"/>
      <c r="O66" s="43"/>
      <c r="P66" s="43"/>
      <c r="Q66" s="44"/>
      <c r="R66" s="43"/>
      <c r="S66" s="43"/>
      <c r="T66" s="43"/>
      <c r="U66" s="44"/>
      <c r="V66" s="43"/>
      <c r="W66" s="43"/>
      <c r="X66" s="43"/>
      <c r="Y66" s="44"/>
      <c r="Z66" s="44"/>
      <c r="AA66" s="44"/>
      <c r="AB66" s="45"/>
      <c r="AC66" s="43"/>
      <c r="AD66" s="43"/>
      <c r="AE66" s="43"/>
      <c r="AF66" s="46"/>
    </row>
    <row r="67" spans="1:32" x14ac:dyDescent="0.25">
      <c r="A67" s="35">
        <v>60</v>
      </c>
      <c r="B67" s="102"/>
      <c r="C67" s="42">
        <v>0.70138888888888884</v>
      </c>
      <c r="D67" s="55"/>
      <c r="E67" s="48"/>
      <c r="F67" s="49"/>
      <c r="G67" s="49"/>
      <c r="H67" s="49"/>
      <c r="I67" s="50"/>
      <c r="J67" s="49"/>
      <c r="K67" s="49"/>
      <c r="L67" s="49"/>
      <c r="M67" s="50"/>
      <c r="N67" s="49"/>
      <c r="O67" s="49"/>
      <c r="P67" s="49"/>
      <c r="Q67" s="50"/>
      <c r="R67" s="49"/>
      <c r="S67" s="49"/>
      <c r="T67" s="49"/>
      <c r="U67" s="50"/>
      <c r="V67" s="49"/>
      <c r="W67" s="49"/>
      <c r="X67" s="49"/>
      <c r="Y67" s="50"/>
      <c r="Z67" s="50"/>
      <c r="AA67" s="50"/>
      <c r="AB67" s="51"/>
      <c r="AC67" s="48"/>
      <c r="AD67" s="48"/>
      <c r="AE67" s="48"/>
      <c r="AF67" s="52"/>
    </row>
    <row r="68" spans="1:32" x14ac:dyDescent="0.25">
      <c r="A68" s="35">
        <v>61</v>
      </c>
      <c r="B68" s="100">
        <v>0.70833333333333304</v>
      </c>
      <c r="C68" s="36">
        <v>0.70833333333333337</v>
      </c>
      <c r="D68" s="83"/>
      <c r="E68" s="38"/>
      <c r="F68" s="38"/>
      <c r="G68" s="38"/>
      <c r="H68" s="38"/>
      <c r="I68" s="39"/>
      <c r="J68" s="38"/>
      <c r="K68" s="38"/>
      <c r="L68" s="38"/>
      <c r="M68" s="39"/>
      <c r="N68" s="38"/>
      <c r="O68" s="38"/>
      <c r="P68" s="38"/>
      <c r="Q68" s="39"/>
      <c r="R68" s="38"/>
      <c r="S68" s="38"/>
      <c r="T68" s="38"/>
      <c r="U68" s="39"/>
      <c r="V68" s="38"/>
      <c r="W68" s="38"/>
      <c r="X68" s="38"/>
      <c r="Y68" s="39"/>
      <c r="Z68" s="39"/>
      <c r="AA68" s="39"/>
      <c r="AB68" s="40"/>
      <c r="AC68" s="38"/>
      <c r="AD68" s="38"/>
      <c r="AE68" s="38"/>
      <c r="AF68" s="41"/>
    </row>
    <row r="69" spans="1:32" x14ac:dyDescent="0.25">
      <c r="A69" s="35">
        <v>62</v>
      </c>
      <c r="B69" s="101"/>
      <c r="C69" s="42">
        <v>0.71527777777777779</v>
      </c>
      <c r="D69" s="68"/>
      <c r="E69" s="43"/>
      <c r="F69" s="43"/>
      <c r="G69" s="43"/>
      <c r="H69" s="43"/>
      <c r="I69" s="44"/>
      <c r="J69" s="43"/>
      <c r="K69" s="43"/>
      <c r="L69" s="43"/>
      <c r="M69" s="44"/>
      <c r="N69" s="43"/>
      <c r="O69" s="43"/>
      <c r="P69" s="43"/>
      <c r="Q69" s="44"/>
      <c r="R69" s="43"/>
      <c r="S69" s="43"/>
      <c r="T69" s="43"/>
      <c r="U69" s="44"/>
      <c r="V69" s="43"/>
      <c r="W69" s="43"/>
      <c r="X69" s="43"/>
      <c r="Y69" s="44"/>
      <c r="Z69" s="44"/>
      <c r="AA69" s="44"/>
      <c r="AB69" s="45"/>
      <c r="AC69" s="43"/>
      <c r="AD69" s="43"/>
      <c r="AE69" s="43"/>
      <c r="AF69" s="46"/>
    </row>
    <row r="70" spans="1:32" x14ac:dyDescent="0.25">
      <c r="A70" s="35">
        <v>63</v>
      </c>
      <c r="B70" s="101"/>
      <c r="C70" s="47">
        <v>0.72222222222222221</v>
      </c>
      <c r="D70" s="69"/>
      <c r="E70" s="48"/>
      <c r="F70" s="49"/>
      <c r="G70" s="49"/>
      <c r="H70" s="49"/>
      <c r="I70" s="50"/>
      <c r="J70" s="49"/>
      <c r="K70" s="49"/>
      <c r="L70" s="49"/>
      <c r="M70" s="50"/>
      <c r="N70" s="49"/>
      <c r="O70" s="49"/>
      <c r="P70" s="49"/>
      <c r="Q70" s="50"/>
      <c r="R70" s="49"/>
      <c r="S70" s="49"/>
      <c r="T70" s="49"/>
      <c r="U70" s="50"/>
      <c r="V70" s="49"/>
      <c r="W70" s="49"/>
      <c r="X70" s="49"/>
      <c r="Y70" s="50"/>
      <c r="Z70" s="50"/>
      <c r="AA70" s="50"/>
      <c r="AB70" s="51"/>
      <c r="AC70" s="48"/>
      <c r="AD70" s="48"/>
      <c r="AE70" s="48"/>
      <c r="AF70" s="52"/>
    </row>
    <row r="71" spans="1:32" x14ac:dyDescent="0.25">
      <c r="A71" s="35">
        <v>64</v>
      </c>
      <c r="B71" s="101"/>
      <c r="C71" s="36">
        <v>0.72916666666666663</v>
      </c>
      <c r="D71" s="67"/>
      <c r="E71" s="38"/>
      <c r="F71" s="38"/>
      <c r="G71" s="38"/>
      <c r="H71" s="38"/>
      <c r="I71" s="39"/>
      <c r="J71" s="38"/>
      <c r="K71" s="38"/>
      <c r="L71" s="38"/>
      <c r="M71" s="39"/>
      <c r="N71" s="38"/>
      <c r="O71" s="38"/>
      <c r="P71" s="38"/>
      <c r="Q71" s="39"/>
      <c r="R71" s="38"/>
      <c r="S71" s="38"/>
      <c r="T71" s="38"/>
      <c r="U71" s="39"/>
      <c r="V71" s="38"/>
      <c r="W71" s="38"/>
      <c r="X71" s="38"/>
      <c r="Y71" s="39"/>
      <c r="Z71" s="39"/>
      <c r="AA71" s="39"/>
      <c r="AB71" s="40"/>
      <c r="AC71" s="38"/>
      <c r="AD71" s="38"/>
      <c r="AE71" s="38"/>
      <c r="AF71" s="41"/>
    </row>
    <row r="72" spans="1:32" x14ac:dyDescent="0.25">
      <c r="A72" s="35">
        <v>65</v>
      </c>
      <c r="B72" s="101"/>
      <c r="C72" s="42">
        <v>0.73611111111111116</v>
      </c>
      <c r="D72" s="68"/>
      <c r="E72" s="43"/>
      <c r="F72" s="43"/>
      <c r="G72" s="43"/>
      <c r="H72" s="43"/>
      <c r="I72" s="44"/>
      <c r="J72" s="43"/>
      <c r="K72" s="43"/>
      <c r="L72" s="43"/>
      <c r="M72" s="44"/>
      <c r="N72" s="43"/>
      <c r="O72" s="43"/>
      <c r="P72" s="43"/>
      <c r="Q72" s="44"/>
      <c r="R72" s="43"/>
      <c r="S72" s="43"/>
      <c r="T72" s="43"/>
      <c r="U72" s="44"/>
      <c r="V72" s="43"/>
      <c r="W72" s="43"/>
      <c r="X72" s="43"/>
      <c r="Y72" s="44"/>
      <c r="Z72" s="44"/>
      <c r="AA72" s="44"/>
      <c r="AB72" s="45"/>
      <c r="AC72" s="43"/>
      <c r="AD72" s="43"/>
      <c r="AE72" s="43"/>
      <c r="AF72" s="46"/>
    </row>
    <row r="73" spans="1:32" x14ac:dyDescent="0.25">
      <c r="A73" s="59">
        <v>66</v>
      </c>
      <c r="B73" s="102"/>
      <c r="C73" s="47">
        <v>0.74305555555555547</v>
      </c>
      <c r="D73" s="55"/>
      <c r="E73" s="48"/>
      <c r="F73" s="49"/>
      <c r="G73" s="49"/>
      <c r="H73" s="49"/>
      <c r="I73" s="50"/>
      <c r="J73" s="49"/>
      <c r="K73" s="49"/>
      <c r="L73" s="49"/>
      <c r="M73" s="50"/>
      <c r="N73" s="49"/>
      <c r="O73" s="49"/>
      <c r="P73" s="49"/>
      <c r="Q73" s="50"/>
      <c r="R73" s="49"/>
      <c r="S73" s="49"/>
      <c r="T73" s="49"/>
      <c r="U73" s="50"/>
      <c r="V73" s="49"/>
      <c r="W73" s="49"/>
      <c r="X73" s="49"/>
      <c r="Y73" s="50"/>
      <c r="Z73" s="50"/>
      <c r="AA73" s="50"/>
      <c r="AB73" s="51"/>
      <c r="AC73" s="48"/>
      <c r="AD73" s="48"/>
      <c r="AE73" s="48"/>
      <c r="AF73" s="52"/>
    </row>
    <row r="74" spans="1:32" ht="7.5" customHeight="1" x14ac:dyDescent="0.25"/>
    <row r="75" spans="1:32" x14ac:dyDescent="0.25">
      <c r="B75" s="64" t="s">
        <v>80</v>
      </c>
    </row>
    <row r="76" spans="1:32" x14ac:dyDescent="0.25">
      <c r="AF76" s="16" t="s">
        <v>153</v>
      </c>
    </row>
    <row r="77" spans="1:32" x14ac:dyDescent="0.25">
      <c r="AF77" s="16" t="s">
        <v>154</v>
      </c>
    </row>
    <row r="89" spans="38:82" x14ac:dyDescent="0.25">
      <c r="AL89" s="115" t="s">
        <v>72</v>
      </c>
      <c r="AM89" s="76"/>
      <c r="AN89" s="76"/>
      <c r="AO89" s="118" t="s">
        <v>139</v>
      </c>
      <c r="AP89" s="119"/>
      <c r="AQ89" s="119"/>
      <c r="AR89" s="119"/>
      <c r="AS89" s="119"/>
      <c r="AT89" s="119"/>
      <c r="AU89" s="120"/>
      <c r="AV89" s="112" t="s">
        <v>141</v>
      </c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4"/>
      <c r="BI89" s="112" t="s">
        <v>142</v>
      </c>
      <c r="BJ89" s="113"/>
      <c r="BK89" s="114"/>
    </row>
    <row r="90" spans="38:82" x14ac:dyDescent="0.25">
      <c r="AL90" s="116"/>
      <c r="AM90" s="94" t="s">
        <v>73</v>
      </c>
      <c r="AN90" s="105" t="s">
        <v>124</v>
      </c>
      <c r="AO90" s="107" t="s">
        <v>125</v>
      </c>
      <c r="AP90" s="96" t="s">
        <v>126</v>
      </c>
      <c r="AQ90" s="96" t="s">
        <v>127</v>
      </c>
      <c r="AR90" s="96" t="s">
        <v>128</v>
      </c>
      <c r="AS90" s="96" t="s">
        <v>70</v>
      </c>
      <c r="AT90" s="98" t="s">
        <v>129</v>
      </c>
      <c r="AU90" s="111" t="s">
        <v>130</v>
      </c>
      <c r="AV90" s="123" t="s">
        <v>127</v>
      </c>
      <c r="AW90" s="103" t="s">
        <v>126</v>
      </c>
      <c r="AX90" s="110" t="s">
        <v>128</v>
      </c>
      <c r="AY90" s="103" t="s">
        <v>131</v>
      </c>
      <c r="AZ90" s="110" t="s">
        <v>65</v>
      </c>
      <c r="BA90" s="103" t="s">
        <v>77</v>
      </c>
      <c r="BB90" s="103" t="s">
        <v>132</v>
      </c>
      <c r="BC90" s="110" t="s">
        <v>67</v>
      </c>
      <c r="BD90" s="103" t="s">
        <v>133</v>
      </c>
      <c r="BE90" s="103" t="s">
        <v>134</v>
      </c>
      <c r="BF90" s="110" t="s">
        <v>69</v>
      </c>
      <c r="BG90" s="110" t="s">
        <v>70</v>
      </c>
      <c r="BH90" s="121" t="s">
        <v>135</v>
      </c>
      <c r="BI90" s="123" t="s">
        <v>136</v>
      </c>
      <c r="BJ90" s="110" t="s">
        <v>63</v>
      </c>
      <c r="BK90" s="121" t="s">
        <v>64</v>
      </c>
    </row>
    <row r="91" spans="38:82" ht="16.5" customHeight="1" x14ac:dyDescent="0.25">
      <c r="AL91" s="117"/>
      <c r="AM91" s="95"/>
      <c r="AN91" s="106"/>
      <c r="AO91" s="95"/>
      <c r="AP91" s="97"/>
      <c r="AQ91" s="97"/>
      <c r="AR91" s="97"/>
      <c r="AS91" s="97"/>
      <c r="AT91" s="97"/>
      <c r="AU91" s="109"/>
      <c r="AV91" s="12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22"/>
      <c r="BI91" s="124"/>
      <c r="BJ91" s="104"/>
      <c r="BK91" s="122"/>
      <c r="CA91" s="94" t="s">
        <v>72</v>
      </c>
      <c r="CB91" s="96" t="s">
        <v>137</v>
      </c>
      <c r="CC91" s="98"/>
      <c r="CD91" s="98"/>
    </row>
    <row r="92" spans="38:82" x14ac:dyDescent="0.25">
      <c r="AL92" s="77"/>
      <c r="AM92" s="61"/>
      <c r="AN92" s="79"/>
      <c r="AO92" s="61"/>
      <c r="AP92" s="62"/>
      <c r="AQ92" s="62"/>
      <c r="AR92" s="62"/>
      <c r="AS92" s="62"/>
      <c r="AT92" s="62"/>
      <c r="AU92" s="63"/>
      <c r="AV92" s="80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2"/>
      <c r="BI92" s="80"/>
      <c r="BJ92" s="81"/>
      <c r="BK92" s="82"/>
      <c r="CA92" s="95"/>
      <c r="CB92" s="97"/>
      <c r="CC92" s="97"/>
      <c r="CD92" s="97"/>
    </row>
    <row r="93" spans="38:82" x14ac:dyDescent="0.25">
      <c r="AL93" s="77"/>
      <c r="AM93" s="61"/>
      <c r="AN93" s="79"/>
      <c r="AO93" s="61"/>
      <c r="AP93" s="62"/>
      <c r="AQ93" s="62"/>
      <c r="AR93" s="62"/>
      <c r="AS93" s="62"/>
      <c r="AT93" s="62"/>
      <c r="AU93" s="63"/>
      <c r="AV93" s="61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3"/>
      <c r="BI93" s="61"/>
      <c r="BJ93" s="62"/>
      <c r="BK93" s="63"/>
    </row>
    <row r="94" spans="38:82" x14ac:dyDescent="0.25">
      <c r="AL94" s="77"/>
      <c r="AM94" s="61"/>
      <c r="AN94" s="79"/>
      <c r="AO94" s="61"/>
      <c r="AP94" s="62"/>
      <c r="AQ94" s="62"/>
      <c r="AR94" s="62"/>
      <c r="AS94" s="62"/>
      <c r="AT94" s="62"/>
      <c r="AU94" s="63"/>
      <c r="AV94" s="61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3"/>
      <c r="BI94" s="61"/>
      <c r="BJ94" s="62"/>
      <c r="BK94" s="63"/>
    </row>
    <row r="95" spans="38:82" x14ac:dyDescent="0.25">
      <c r="AL95" s="77"/>
      <c r="AM95" s="61"/>
      <c r="AN95" s="79"/>
      <c r="AO95" s="61"/>
      <c r="AP95" s="62"/>
      <c r="AQ95" s="62"/>
      <c r="AR95" s="62"/>
      <c r="AS95" s="62"/>
      <c r="AT95" s="62"/>
      <c r="AU95" s="63"/>
      <c r="AV95" s="61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3"/>
      <c r="BI95" s="61"/>
      <c r="BJ95" s="62"/>
      <c r="BK95" s="63"/>
    </row>
    <row r="96" spans="38:82" x14ac:dyDescent="0.25">
      <c r="AL96" s="77"/>
      <c r="AM96" s="61"/>
      <c r="AN96" s="79"/>
      <c r="AO96" s="61"/>
      <c r="AP96" s="62"/>
      <c r="AQ96" s="62"/>
      <c r="AR96" s="62"/>
      <c r="AS96" s="62"/>
      <c r="AT96" s="62"/>
      <c r="AU96" s="63"/>
      <c r="AV96" s="61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3"/>
      <c r="BI96" s="61"/>
      <c r="BJ96" s="62"/>
      <c r="BK96" s="63"/>
    </row>
    <row r="97" spans="38:95" x14ac:dyDescent="0.25">
      <c r="AL97" s="77"/>
      <c r="AM97" s="61"/>
      <c r="AN97" s="79"/>
      <c r="AO97" s="61"/>
      <c r="AP97" s="62"/>
      <c r="AQ97" s="62"/>
      <c r="AR97" s="62"/>
      <c r="AS97" s="62"/>
      <c r="AT97" s="62"/>
      <c r="AU97" s="63"/>
      <c r="AV97" s="61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3"/>
      <c r="BI97" s="61"/>
      <c r="BJ97" s="62"/>
      <c r="BK97" s="63"/>
    </row>
    <row r="98" spans="38:95" x14ac:dyDescent="0.25">
      <c r="AL98" s="77"/>
      <c r="AM98" s="61"/>
      <c r="AN98" s="79"/>
      <c r="AO98" s="61"/>
      <c r="AP98" s="62"/>
      <c r="AQ98" s="62"/>
      <c r="AR98" s="62"/>
      <c r="AS98" s="62"/>
      <c r="AT98" s="62"/>
      <c r="AU98" s="63"/>
      <c r="AV98" s="61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3"/>
      <c r="BI98" s="61"/>
      <c r="BJ98" s="62"/>
      <c r="BK98" s="63"/>
    </row>
    <row r="99" spans="38:95" x14ac:dyDescent="0.25">
      <c r="AL99" s="77"/>
      <c r="AM99" s="61"/>
      <c r="AN99" s="79"/>
      <c r="AO99" s="61"/>
      <c r="AP99" s="62"/>
      <c r="AQ99" s="62"/>
      <c r="AR99" s="62"/>
      <c r="AS99" s="62"/>
      <c r="AT99" s="62"/>
      <c r="AU99" s="63"/>
      <c r="AV99" s="61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3"/>
      <c r="BI99" s="61"/>
      <c r="BJ99" s="62"/>
      <c r="BK99" s="63"/>
    </row>
    <row r="100" spans="38:95" x14ac:dyDescent="0.25">
      <c r="AL100" s="77"/>
      <c r="AM100" s="61"/>
      <c r="AN100" s="79"/>
      <c r="AO100" s="61"/>
      <c r="AP100" s="62"/>
      <c r="AQ100" s="62"/>
      <c r="AR100" s="62"/>
      <c r="AS100" s="62"/>
      <c r="AT100" s="62"/>
      <c r="AU100" s="63"/>
      <c r="AV100" s="61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3"/>
      <c r="BI100" s="61"/>
      <c r="BJ100" s="62"/>
      <c r="BK100" s="63"/>
    </row>
    <row r="101" spans="38:95" x14ac:dyDescent="0.25">
      <c r="AL101" s="77"/>
      <c r="AM101" s="61"/>
      <c r="AN101" s="79"/>
      <c r="AO101" s="61"/>
      <c r="AP101" s="62"/>
      <c r="AQ101" s="62"/>
      <c r="AR101" s="62"/>
      <c r="AS101" s="62"/>
      <c r="AT101" s="62"/>
      <c r="AU101" s="63"/>
      <c r="AV101" s="61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3"/>
      <c r="BI101" s="61"/>
      <c r="BJ101" s="62"/>
      <c r="BK101" s="63"/>
    </row>
    <row r="102" spans="38:95" x14ac:dyDescent="0.25">
      <c r="AL102" s="16"/>
      <c r="AM102" s="16"/>
      <c r="AN102" s="16"/>
      <c r="AO102" s="16"/>
      <c r="AP102" s="16"/>
      <c r="AQ102" s="16"/>
      <c r="AR102" s="16"/>
      <c r="AS102" s="16"/>
      <c r="AT102" s="16"/>
      <c r="AU102" s="16">
        <v>1</v>
      </c>
      <c r="AV102" s="16"/>
      <c r="AW102" s="16"/>
      <c r="AX102" s="16"/>
      <c r="BH102" s="16">
        <v>2</v>
      </c>
      <c r="BK102" s="16">
        <v>3</v>
      </c>
    </row>
    <row r="103" spans="38:95" x14ac:dyDescent="0.25">
      <c r="AL103" s="16"/>
      <c r="AM103" s="16"/>
      <c r="AN103" s="16"/>
      <c r="AO103" s="16"/>
      <c r="AP103" s="16"/>
      <c r="AQ103" s="16"/>
      <c r="AR103" s="16"/>
      <c r="AS103" s="16"/>
      <c r="AT103" s="16"/>
      <c r="AU103" s="16" t="s">
        <v>140</v>
      </c>
      <c r="AV103" s="16"/>
      <c r="AW103" s="16"/>
      <c r="AX103" s="16"/>
      <c r="BH103" s="16" t="s">
        <v>141</v>
      </c>
      <c r="BK103" s="16" t="s">
        <v>142</v>
      </c>
    </row>
    <row r="107" spans="38:95" x14ac:dyDescent="0.25">
      <c r="CB107" s="94" t="s">
        <v>72</v>
      </c>
      <c r="CC107" s="96" t="s">
        <v>73</v>
      </c>
      <c r="CD107" s="98" t="s">
        <v>75</v>
      </c>
      <c r="CE107" s="98" t="s">
        <v>76</v>
      </c>
      <c r="CF107" s="96" t="s">
        <v>63</v>
      </c>
      <c r="CG107" s="96" t="s">
        <v>64</v>
      </c>
      <c r="CH107" s="96" t="s">
        <v>65</v>
      </c>
      <c r="CI107" s="96" t="s">
        <v>66</v>
      </c>
      <c r="CJ107" s="98" t="s">
        <v>77</v>
      </c>
      <c r="CK107" s="98" t="s">
        <v>78</v>
      </c>
      <c r="CL107" s="96" t="s">
        <v>67</v>
      </c>
      <c r="CM107" s="98" t="s">
        <v>74</v>
      </c>
      <c r="CN107" s="96" t="s">
        <v>68</v>
      </c>
      <c r="CO107" s="96" t="s">
        <v>69</v>
      </c>
      <c r="CP107" s="96" t="s">
        <v>70</v>
      </c>
      <c r="CQ107" s="108" t="s">
        <v>71</v>
      </c>
    </row>
    <row r="108" spans="38:95" x14ac:dyDescent="0.25">
      <c r="CB108" s="95"/>
      <c r="CC108" s="97"/>
      <c r="CD108" s="97"/>
      <c r="CE108" s="97"/>
      <c r="CF108" s="97"/>
      <c r="CG108" s="97"/>
      <c r="CH108" s="97"/>
      <c r="CI108" s="97"/>
      <c r="CJ108" s="97"/>
      <c r="CK108" s="97"/>
      <c r="CL108" s="97"/>
      <c r="CM108" s="97"/>
      <c r="CN108" s="97"/>
      <c r="CO108" s="97"/>
      <c r="CP108" s="97"/>
      <c r="CQ108" s="109"/>
    </row>
    <row r="109" spans="38:95" x14ac:dyDescent="0.25">
      <c r="CB109" s="61"/>
      <c r="CC109" s="62"/>
      <c r="CD109" s="62"/>
      <c r="CE109" s="62"/>
      <c r="CF109" s="62"/>
      <c r="CG109" s="62"/>
      <c r="CH109" s="62"/>
      <c r="CI109" s="62"/>
      <c r="CJ109" s="62"/>
      <c r="CK109" s="62"/>
      <c r="CL109" s="62"/>
      <c r="CM109" s="62"/>
      <c r="CN109" s="62"/>
      <c r="CO109" s="62"/>
      <c r="CP109" s="62"/>
      <c r="CQ109" s="63"/>
    </row>
    <row r="110" spans="38:95" x14ac:dyDescent="0.25">
      <c r="CB110" s="61"/>
      <c r="CC110" s="62"/>
      <c r="CD110" s="62"/>
      <c r="CE110" s="62"/>
      <c r="CF110" s="62"/>
      <c r="CG110" s="62"/>
      <c r="CH110" s="62"/>
      <c r="CI110" s="62"/>
      <c r="CJ110" s="62"/>
      <c r="CK110" s="62"/>
      <c r="CL110" s="62"/>
      <c r="CM110" s="62"/>
      <c r="CN110" s="62"/>
      <c r="CO110" s="62"/>
      <c r="CP110" s="62"/>
      <c r="CQ110" s="63"/>
    </row>
    <row r="111" spans="38:95" x14ac:dyDescent="0.25">
      <c r="CB111" s="61"/>
      <c r="CC111" s="62"/>
      <c r="CD111" s="62"/>
      <c r="CE111" s="62"/>
      <c r="CF111" s="62"/>
      <c r="CG111" s="62"/>
      <c r="CH111" s="62"/>
      <c r="CI111" s="62"/>
      <c r="CJ111" s="62"/>
      <c r="CK111" s="62"/>
      <c r="CL111" s="62"/>
      <c r="CM111" s="62"/>
      <c r="CN111" s="62"/>
      <c r="CO111" s="62"/>
      <c r="CP111" s="62"/>
      <c r="CQ111" s="63"/>
    </row>
    <row r="112" spans="38:95" x14ac:dyDescent="0.25">
      <c r="CB112" s="61"/>
      <c r="CC112" s="62"/>
      <c r="CD112" s="62"/>
      <c r="CE112" s="62"/>
      <c r="CF112" s="62"/>
      <c r="CG112" s="62"/>
      <c r="CH112" s="62"/>
      <c r="CI112" s="62"/>
      <c r="CJ112" s="62"/>
      <c r="CK112" s="62"/>
      <c r="CL112" s="62"/>
      <c r="CM112" s="62"/>
      <c r="CN112" s="62"/>
      <c r="CO112" s="62"/>
      <c r="CP112" s="62"/>
      <c r="CQ112" s="63"/>
    </row>
    <row r="113" spans="80:95" x14ac:dyDescent="0.25">
      <c r="CB113" s="61"/>
      <c r="CC113" s="62"/>
      <c r="CD113" s="62"/>
      <c r="CE113" s="62"/>
      <c r="CF113" s="62"/>
      <c r="CG113" s="62"/>
      <c r="CH113" s="62"/>
      <c r="CI113" s="62"/>
      <c r="CJ113" s="62"/>
      <c r="CK113" s="62"/>
      <c r="CL113" s="62"/>
      <c r="CM113" s="62"/>
      <c r="CN113" s="62"/>
      <c r="CO113" s="62"/>
      <c r="CP113" s="62"/>
      <c r="CQ113" s="63"/>
    </row>
    <row r="114" spans="80:95" x14ac:dyDescent="0.25">
      <c r="CB114" s="61"/>
      <c r="CC114" s="62"/>
      <c r="CD114" s="62"/>
      <c r="CE114" s="62"/>
      <c r="CF114" s="62"/>
      <c r="CG114" s="62"/>
      <c r="CH114" s="62"/>
      <c r="CI114" s="62"/>
      <c r="CJ114" s="62"/>
      <c r="CK114" s="62"/>
      <c r="CL114" s="62"/>
      <c r="CM114" s="62"/>
      <c r="CN114" s="62"/>
      <c r="CO114" s="62"/>
      <c r="CP114" s="62"/>
      <c r="CQ114" s="63"/>
    </row>
    <row r="115" spans="80:95" x14ac:dyDescent="0.25">
      <c r="CB115" s="61"/>
      <c r="CC115" s="62"/>
      <c r="CD115" s="62"/>
      <c r="CE115" s="62"/>
      <c r="CF115" s="62"/>
      <c r="CG115" s="62"/>
      <c r="CH115" s="62"/>
      <c r="CI115" s="62"/>
      <c r="CJ115" s="62"/>
      <c r="CK115" s="62"/>
      <c r="CL115" s="62"/>
      <c r="CM115" s="62"/>
      <c r="CN115" s="62"/>
      <c r="CO115" s="62"/>
      <c r="CP115" s="62"/>
      <c r="CQ115" s="63"/>
    </row>
    <row r="116" spans="80:95" x14ac:dyDescent="0.25">
      <c r="CB116" s="61"/>
      <c r="CC116" s="62"/>
      <c r="CD116" s="62"/>
      <c r="CE116" s="62"/>
      <c r="CF116" s="62"/>
      <c r="CG116" s="62"/>
      <c r="CH116" s="62"/>
      <c r="CI116" s="62"/>
      <c r="CJ116" s="62"/>
      <c r="CK116" s="62"/>
      <c r="CL116" s="62"/>
      <c r="CM116" s="62"/>
      <c r="CN116" s="62"/>
      <c r="CO116" s="62"/>
      <c r="CP116" s="62"/>
      <c r="CQ116" s="63"/>
    </row>
    <row r="117" spans="80:95" x14ac:dyDescent="0.25">
      <c r="CB117" s="61"/>
      <c r="CC117" s="62"/>
      <c r="CD117" s="62"/>
      <c r="CE117" s="62"/>
      <c r="CF117" s="62"/>
      <c r="CG117" s="62"/>
      <c r="CH117" s="62"/>
      <c r="CI117" s="62"/>
      <c r="CJ117" s="62"/>
      <c r="CK117" s="62"/>
      <c r="CL117" s="62"/>
      <c r="CM117" s="62"/>
      <c r="CN117" s="62"/>
      <c r="CO117" s="62"/>
      <c r="CP117" s="62"/>
      <c r="CQ117" s="63"/>
    </row>
    <row r="118" spans="80:95" x14ac:dyDescent="0.25"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</row>
    <row r="119" spans="80:95" x14ac:dyDescent="0.25">
      <c r="CB119" s="94" t="s">
        <v>72</v>
      </c>
      <c r="CC119" s="96" t="s">
        <v>73</v>
      </c>
      <c r="CD119" s="98" t="s">
        <v>75</v>
      </c>
      <c r="CE119" s="98" t="s">
        <v>76</v>
      </c>
      <c r="CF119" s="96" t="s">
        <v>63</v>
      </c>
      <c r="CG119" s="96" t="s">
        <v>64</v>
      </c>
      <c r="CH119" s="96" t="s">
        <v>65</v>
      </c>
      <c r="CI119" s="96" t="s">
        <v>66</v>
      </c>
      <c r="CJ119" s="98" t="s">
        <v>77</v>
      </c>
      <c r="CK119" s="98" t="s">
        <v>78</v>
      </c>
      <c r="CL119" s="96" t="s">
        <v>67</v>
      </c>
      <c r="CM119" s="98" t="s">
        <v>74</v>
      </c>
      <c r="CN119" s="96" t="s">
        <v>68</v>
      </c>
      <c r="CO119" s="96" t="s">
        <v>69</v>
      </c>
      <c r="CP119" s="96" t="s">
        <v>70</v>
      </c>
      <c r="CQ119" s="108" t="s">
        <v>71</v>
      </c>
    </row>
    <row r="120" spans="80:95" x14ac:dyDescent="0.25">
      <c r="CB120" s="95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109"/>
    </row>
    <row r="121" spans="80:95" x14ac:dyDescent="0.25">
      <c r="CB121" s="61"/>
      <c r="CC121" s="62"/>
      <c r="CD121" s="62"/>
      <c r="CE121" s="62"/>
      <c r="CF121" s="62"/>
      <c r="CG121" s="62"/>
      <c r="CH121" s="62"/>
      <c r="CI121" s="62"/>
      <c r="CJ121" s="62"/>
      <c r="CK121" s="62"/>
      <c r="CL121" s="62"/>
      <c r="CM121" s="62"/>
      <c r="CN121" s="62"/>
      <c r="CO121" s="62"/>
      <c r="CP121" s="62"/>
      <c r="CQ121" s="63"/>
    </row>
    <row r="122" spans="80:95" x14ac:dyDescent="0.25">
      <c r="CB122" s="61"/>
      <c r="CC122" s="62"/>
      <c r="CD122" s="62"/>
      <c r="CE122" s="62"/>
      <c r="CF122" s="62"/>
      <c r="CG122" s="62"/>
      <c r="CH122" s="62"/>
      <c r="CI122" s="62"/>
      <c r="CJ122" s="62"/>
      <c r="CK122" s="62"/>
      <c r="CL122" s="62"/>
      <c r="CM122" s="62"/>
      <c r="CN122" s="62"/>
      <c r="CO122" s="62"/>
      <c r="CP122" s="62"/>
      <c r="CQ122" s="63"/>
    </row>
    <row r="123" spans="80:95" x14ac:dyDescent="0.25">
      <c r="CB123" s="61"/>
      <c r="CC123" s="62"/>
      <c r="CD123" s="62"/>
      <c r="CE123" s="62"/>
      <c r="CF123" s="62"/>
      <c r="CG123" s="62"/>
      <c r="CH123" s="62"/>
      <c r="CI123" s="62"/>
      <c r="CJ123" s="62"/>
      <c r="CK123" s="62"/>
      <c r="CL123" s="62"/>
      <c r="CM123" s="62"/>
      <c r="CN123" s="62"/>
      <c r="CO123" s="62"/>
      <c r="CP123" s="62"/>
      <c r="CQ123" s="63"/>
    </row>
    <row r="124" spans="80:95" x14ac:dyDescent="0.25">
      <c r="CB124" s="61"/>
      <c r="CC124" s="62"/>
      <c r="CD124" s="62"/>
      <c r="CE124" s="62"/>
      <c r="CF124" s="62"/>
      <c r="CG124" s="62"/>
      <c r="CH124" s="62"/>
      <c r="CI124" s="62"/>
      <c r="CJ124" s="62"/>
      <c r="CK124" s="62"/>
      <c r="CL124" s="62"/>
      <c r="CM124" s="62"/>
      <c r="CN124" s="62"/>
      <c r="CO124" s="62"/>
      <c r="CP124" s="62"/>
      <c r="CQ124" s="63"/>
    </row>
    <row r="125" spans="80:95" x14ac:dyDescent="0.25">
      <c r="CB125" s="61"/>
      <c r="CC125" s="62"/>
      <c r="CD125" s="62"/>
      <c r="CE125" s="62"/>
      <c r="CF125" s="62"/>
      <c r="CG125" s="62"/>
      <c r="CH125" s="62"/>
      <c r="CI125" s="62"/>
      <c r="CJ125" s="62"/>
      <c r="CK125" s="62"/>
      <c r="CL125" s="62"/>
      <c r="CM125" s="62"/>
      <c r="CN125" s="62"/>
      <c r="CO125" s="62"/>
      <c r="CP125" s="62"/>
      <c r="CQ125" s="63"/>
    </row>
    <row r="126" spans="80:95" x14ac:dyDescent="0.25">
      <c r="CB126" s="61"/>
      <c r="CC126" s="62"/>
      <c r="CD126" s="62"/>
      <c r="CE126" s="62"/>
      <c r="CF126" s="62"/>
      <c r="CG126" s="62"/>
      <c r="CH126" s="62"/>
      <c r="CI126" s="62"/>
      <c r="CJ126" s="62"/>
      <c r="CK126" s="62"/>
      <c r="CL126" s="62"/>
      <c r="CM126" s="62"/>
      <c r="CN126" s="62"/>
      <c r="CO126" s="62"/>
      <c r="CP126" s="62"/>
      <c r="CQ126" s="63"/>
    </row>
    <row r="127" spans="80:95" x14ac:dyDescent="0.25">
      <c r="CB127" s="61"/>
      <c r="CC127" s="62"/>
      <c r="CD127" s="62"/>
      <c r="CE127" s="62"/>
      <c r="CF127" s="62"/>
      <c r="CG127" s="62"/>
      <c r="CH127" s="62"/>
      <c r="CI127" s="62"/>
      <c r="CJ127" s="62"/>
      <c r="CK127" s="62"/>
      <c r="CL127" s="62"/>
      <c r="CM127" s="62"/>
      <c r="CN127" s="62"/>
      <c r="CO127" s="62"/>
      <c r="CP127" s="62"/>
      <c r="CQ127" s="63"/>
    </row>
    <row r="128" spans="80:95" x14ac:dyDescent="0.25">
      <c r="CB128" s="61"/>
      <c r="CC128" s="62"/>
      <c r="CD128" s="62"/>
      <c r="CE128" s="62"/>
      <c r="CF128" s="62"/>
      <c r="CG128" s="62"/>
      <c r="CH128" s="62"/>
      <c r="CI128" s="62"/>
      <c r="CJ128" s="62"/>
      <c r="CK128" s="62"/>
      <c r="CL128" s="62"/>
      <c r="CM128" s="62"/>
      <c r="CN128" s="62"/>
      <c r="CO128" s="62"/>
      <c r="CP128" s="62"/>
      <c r="CQ128" s="63"/>
    </row>
    <row r="129" spans="80:95" x14ac:dyDescent="0.25">
      <c r="CB129" s="61"/>
      <c r="CC129" s="62"/>
      <c r="CD129" s="62"/>
      <c r="CE129" s="62"/>
      <c r="CF129" s="62"/>
      <c r="CG129" s="62"/>
      <c r="CH129" s="62"/>
      <c r="CI129" s="62"/>
      <c r="CJ129" s="62"/>
      <c r="CK129" s="62"/>
      <c r="CL129" s="62"/>
      <c r="CM129" s="62"/>
      <c r="CN129" s="62"/>
      <c r="CO129" s="62"/>
      <c r="CP129" s="62"/>
      <c r="CQ129" s="63"/>
    </row>
  </sheetData>
  <mergeCells count="77">
    <mergeCell ref="AV89:BH89"/>
    <mergeCell ref="BI89:BK89"/>
    <mergeCell ref="AL89:AL91"/>
    <mergeCell ref="AO89:AU89"/>
    <mergeCell ref="BK90:BK91"/>
    <mergeCell ref="BF90:BF91"/>
    <mergeCell ref="BG90:BG91"/>
    <mergeCell ref="BH90:BH91"/>
    <mergeCell ref="BI90:BI91"/>
    <mergeCell ref="BJ90:BJ91"/>
    <mergeCell ref="BA90:BA91"/>
    <mergeCell ref="BB90:BB91"/>
    <mergeCell ref="BC90:BC91"/>
    <mergeCell ref="BD90:BD91"/>
    <mergeCell ref="BE90:BE91"/>
    <mergeCell ref="AV90:AV91"/>
    <mergeCell ref="AX90:AX91"/>
    <mergeCell ref="AY90:AY91"/>
    <mergeCell ref="AZ90:AZ91"/>
    <mergeCell ref="AQ90:AQ91"/>
    <mergeCell ref="AR90:AR91"/>
    <mergeCell ref="AS90:AS91"/>
    <mergeCell ref="AT90:AT91"/>
    <mergeCell ref="AU90:AU91"/>
    <mergeCell ref="CE119:CE120"/>
    <mergeCell ref="CF119:CF120"/>
    <mergeCell ref="CG119:CG120"/>
    <mergeCell ref="CH119:CH120"/>
    <mergeCell ref="CI119:CI120"/>
    <mergeCell ref="CQ119:CQ120"/>
    <mergeCell ref="CJ119:CJ120"/>
    <mergeCell ref="CK119:CK120"/>
    <mergeCell ref="CL119:CL120"/>
    <mergeCell ref="CM119:CM120"/>
    <mergeCell ref="CN119:CN120"/>
    <mergeCell ref="CO119:CO120"/>
    <mergeCell ref="CP119:CP120"/>
    <mergeCell ref="CQ107:CQ108"/>
    <mergeCell ref="CJ107:CJ108"/>
    <mergeCell ref="CK107:CK108"/>
    <mergeCell ref="CL107:CL108"/>
    <mergeCell ref="CM107:CM108"/>
    <mergeCell ref="CN107:CN108"/>
    <mergeCell ref="CO107:CO108"/>
    <mergeCell ref="CP107:CP108"/>
    <mergeCell ref="CI107:CI108"/>
    <mergeCell ref="B32:B37"/>
    <mergeCell ref="B38:B43"/>
    <mergeCell ref="CB107:CB108"/>
    <mergeCell ref="CC107:CC108"/>
    <mergeCell ref="CD107:CD108"/>
    <mergeCell ref="CB91:CB92"/>
    <mergeCell ref="CC91:CC92"/>
    <mergeCell ref="CD91:CD92"/>
    <mergeCell ref="CE107:CE108"/>
    <mergeCell ref="CF107:CF108"/>
    <mergeCell ref="CG107:CG108"/>
    <mergeCell ref="CH107:CH108"/>
    <mergeCell ref="AM90:AM91"/>
    <mergeCell ref="AN90:AN91"/>
    <mergeCell ref="AO90:AO91"/>
    <mergeCell ref="CB119:CB120"/>
    <mergeCell ref="CC119:CC120"/>
    <mergeCell ref="CD119:CD120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  <mergeCell ref="AP90:AP91"/>
    <mergeCell ref="CA91:CA92"/>
    <mergeCell ref="AW90:AW91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" r:id="rId4" name="Button 338">
              <controlPr defaultSize="0" print="0" autoFill="0" autoPict="0" macro="[0]!ボタン338_Click">
                <anchor moveWithCells="1" sizeWithCells="1">
                  <from>
                    <xdr:col>1</xdr:col>
                    <xdr:colOff>19050</xdr:colOff>
                    <xdr:row>80</xdr:row>
                    <xdr:rowOff>104775</xdr:rowOff>
                  </from>
                  <to>
                    <xdr:col>32</xdr:col>
                    <xdr:colOff>28575</xdr:colOff>
                    <xdr:row>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5" name="Button 379">
              <controlPr defaultSize="0" print="0" autoFill="0" autoPict="0" macro="[0]!ボタン379_Click">
                <anchor moveWithCells="1" sizeWithCells="1">
                  <from>
                    <xdr:col>0</xdr:col>
                    <xdr:colOff>0</xdr:colOff>
                    <xdr:row>75</xdr:row>
                    <xdr:rowOff>85725</xdr:rowOff>
                  </from>
                  <to>
                    <xdr:col>4</xdr:col>
                    <xdr:colOff>1114425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6" name="Button 380">
              <controlPr defaultSize="0" print="0" autoFill="0" autoPict="0" macro="[0]!ボタン380_Click">
                <anchor moveWithCells="1" sizeWithCells="1">
                  <from>
                    <xdr:col>4</xdr:col>
                    <xdr:colOff>1123950</xdr:colOff>
                    <xdr:row>75</xdr:row>
                    <xdr:rowOff>85725</xdr:rowOff>
                  </from>
                  <to>
                    <xdr:col>29</xdr:col>
                    <xdr:colOff>561975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7" name="Button 381">
              <controlPr defaultSize="0" print="0" autoFill="0" autoPict="0" macro="[0]!ボタン381_Click">
                <anchor moveWithCells="1" sizeWithCells="1">
                  <from>
                    <xdr:col>29</xdr:col>
                    <xdr:colOff>571500</xdr:colOff>
                    <xdr:row>75</xdr:row>
                    <xdr:rowOff>85725</xdr:rowOff>
                  </from>
                  <to>
                    <xdr:col>32</xdr:col>
                    <xdr:colOff>28575</xdr:colOff>
                    <xdr:row>80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524B-EF96-432B-B3AA-C6ED0BB7D63A}">
  <sheetPr codeName="Sheet8"/>
  <dimension ref="A1:R37"/>
  <sheetViews>
    <sheetView workbookViewId="0">
      <selection activeCell="F57" sqref="F57"/>
    </sheetView>
  </sheetViews>
  <sheetFormatPr defaultRowHeight="14.25" x14ac:dyDescent="0.25"/>
  <cols>
    <col min="1" max="1" width="9" style="84"/>
    <col min="2" max="2" width="10.875" style="84" customWidth="1"/>
    <col min="3" max="11" width="20.625" style="84" customWidth="1"/>
    <col min="12" max="16384" width="9" style="84"/>
  </cols>
  <sheetData>
    <row r="1" spans="1:18" x14ac:dyDescent="0.25">
      <c r="D1" s="85"/>
    </row>
    <row r="2" spans="1:18" customFormat="1" x14ac:dyDescent="0.25">
      <c r="B2" s="93" t="s">
        <v>13</v>
      </c>
      <c r="C2" s="89">
        <f>生産状況!E8</f>
        <v>0</v>
      </c>
    </row>
    <row r="3" spans="1:18" customFormat="1" ht="20.100000000000001" customHeight="1" x14ac:dyDescent="0.25">
      <c r="A3" s="129" t="s">
        <v>151</v>
      </c>
      <c r="B3" s="90" t="s">
        <v>73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</row>
    <row r="4" spans="1:18" customFormat="1" ht="20.100000000000001" customHeight="1" x14ac:dyDescent="0.25">
      <c r="A4" s="130"/>
      <c r="B4" s="91" t="s">
        <v>143</v>
      </c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</row>
    <row r="5" spans="1:18" customFormat="1" ht="20.100000000000001" customHeight="1" x14ac:dyDescent="0.25">
      <c r="A5" s="130"/>
      <c r="B5" s="91" t="s">
        <v>125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</row>
    <row r="6" spans="1:18" customFormat="1" ht="20.100000000000001" customHeight="1" x14ac:dyDescent="0.25">
      <c r="A6" s="130"/>
      <c r="B6" s="91" t="s">
        <v>126</v>
      </c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</row>
    <row r="7" spans="1:18" customFormat="1" ht="20.100000000000001" customHeight="1" x14ac:dyDescent="0.25">
      <c r="A7" s="130"/>
      <c r="B7" s="91" t="s">
        <v>127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</row>
    <row r="8" spans="1:18" customFormat="1" ht="20.100000000000001" customHeight="1" x14ac:dyDescent="0.25">
      <c r="A8" s="130"/>
      <c r="B8" s="91" t="s">
        <v>128</v>
      </c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</row>
    <row r="9" spans="1:18" customFormat="1" ht="20.100000000000001" customHeight="1" x14ac:dyDescent="0.25">
      <c r="A9" s="130"/>
      <c r="B9" s="91" t="s">
        <v>70</v>
      </c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</row>
    <row r="10" spans="1:18" customFormat="1" ht="20.100000000000001" customHeight="1" x14ac:dyDescent="0.25">
      <c r="A10" s="130"/>
      <c r="B10" s="91" t="s">
        <v>144</v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</row>
    <row r="11" spans="1:18" customFormat="1" ht="20.100000000000001" customHeight="1" x14ac:dyDescent="0.25">
      <c r="A11" s="131"/>
      <c r="B11" s="92" t="s">
        <v>130</v>
      </c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</row>
    <row r="12" spans="1:18" customFormat="1" ht="20.100000000000001" customHeight="1" x14ac:dyDescent="0.25">
      <c r="A12" s="129" t="s">
        <v>152</v>
      </c>
      <c r="B12" s="90" t="s">
        <v>73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</row>
    <row r="13" spans="1:18" customFormat="1" ht="20.100000000000001" customHeight="1" x14ac:dyDescent="0.25">
      <c r="A13" s="130"/>
      <c r="B13" s="91" t="s">
        <v>143</v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</row>
    <row r="14" spans="1:18" customFormat="1" ht="20.100000000000001" customHeight="1" x14ac:dyDescent="0.25">
      <c r="A14" s="130"/>
      <c r="B14" s="91" t="s">
        <v>125</v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</row>
    <row r="15" spans="1:18" customFormat="1" ht="20.100000000000001" customHeight="1" x14ac:dyDescent="0.25">
      <c r="A15" s="130"/>
      <c r="B15" s="91" t="s">
        <v>126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</row>
    <row r="16" spans="1:18" customFormat="1" ht="20.100000000000001" customHeight="1" x14ac:dyDescent="0.25">
      <c r="A16" s="130"/>
      <c r="B16" s="91" t="s">
        <v>127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</row>
    <row r="17" spans="1:18" customFormat="1" ht="20.100000000000001" customHeight="1" x14ac:dyDescent="0.25">
      <c r="A17" s="130"/>
      <c r="B17" s="91" t="s">
        <v>128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</row>
    <row r="18" spans="1:18" customFormat="1" ht="20.100000000000001" customHeight="1" x14ac:dyDescent="0.25">
      <c r="A18" s="130"/>
      <c r="B18" s="91" t="s">
        <v>70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</row>
    <row r="19" spans="1:18" customFormat="1" ht="20.100000000000001" customHeight="1" x14ac:dyDescent="0.25">
      <c r="A19" s="130"/>
      <c r="B19" s="91" t="s">
        <v>144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</row>
    <row r="20" spans="1:18" customFormat="1" ht="20.100000000000001" customHeight="1" x14ac:dyDescent="0.25">
      <c r="A20" s="131"/>
      <c r="B20" s="92" t="s">
        <v>130</v>
      </c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</row>
    <row r="21" spans="1:18" customFormat="1" ht="20.100000000000001" customHeight="1" x14ac:dyDescent="0.25">
      <c r="A21" s="125" t="s">
        <v>149</v>
      </c>
      <c r="B21" s="90" t="s">
        <v>127</v>
      </c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</row>
    <row r="22" spans="1:18" customFormat="1" ht="20.100000000000001" customHeight="1" x14ac:dyDescent="0.25">
      <c r="A22" s="126"/>
      <c r="B22" s="91" t="s">
        <v>126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</row>
    <row r="23" spans="1:18" customFormat="1" ht="20.100000000000001" customHeight="1" x14ac:dyDescent="0.25">
      <c r="A23" s="126"/>
      <c r="B23" s="91" t="s">
        <v>128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</row>
    <row r="24" spans="1:18" customFormat="1" ht="20.100000000000001" customHeight="1" x14ac:dyDescent="0.25">
      <c r="A24" s="126"/>
      <c r="B24" s="91" t="s">
        <v>144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</row>
    <row r="25" spans="1:18" customFormat="1" ht="20.100000000000001" customHeight="1" x14ac:dyDescent="0.25">
      <c r="A25" s="126"/>
      <c r="B25" s="91" t="s">
        <v>65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</row>
    <row r="26" spans="1:18" customFormat="1" ht="20.100000000000001" customHeight="1" x14ac:dyDescent="0.25">
      <c r="A26" s="126"/>
      <c r="B26" s="91" t="s">
        <v>66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 customFormat="1" ht="20.100000000000001" customHeight="1" x14ac:dyDescent="0.25">
      <c r="A27" s="126"/>
      <c r="B27" s="91" t="s">
        <v>145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 customFormat="1" ht="20.100000000000001" customHeight="1" x14ac:dyDescent="0.25">
      <c r="A28" s="126"/>
      <c r="B28" s="91" t="s">
        <v>146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 customFormat="1" ht="20.100000000000001" customHeight="1" x14ac:dyDescent="0.25">
      <c r="A29" s="126"/>
      <c r="B29" s="91" t="s">
        <v>67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 customFormat="1" ht="20.100000000000001" customHeight="1" x14ac:dyDescent="0.25">
      <c r="A30" s="126"/>
      <c r="B30" s="91" t="s">
        <v>147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 customFormat="1" ht="20.100000000000001" customHeight="1" x14ac:dyDescent="0.25">
      <c r="A31" s="126"/>
      <c r="B31" s="91" t="s">
        <v>148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 customFormat="1" ht="20.100000000000001" customHeight="1" x14ac:dyDescent="0.25">
      <c r="A32" s="126"/>
      <c r="B32" s="91" t="s">
        <v>69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 customFormat="1" ht="20.100000000000001" customHeight="1" x14ac:dyDescent="0.25">
      <c r="A33" s="126"/>
      <c r="B33" s="91" t="s">
        <v>70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 customFormat="1" ht="20.100000000000001" customHeight="1" x14ac:dyDescent="0.25">
      <c r="A34" s="127"/>
      <c r="B34" s="92" t="s">
        <v>130</v>
      </c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</row>
    <row r="35" spans="1:18" customFormat="1" ht="20.100000000000001" customHeight="1" x14ac:dyDescent="0.25">
      <c r="A35" s="128" t="s">
        <v>150</v>
      </c>
      <c r="B35" s="90" t="s">
        <v>136</v>
      </c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</row>
    <row r="36" spans="1:18" customFormat="1" ht="20.100000000000001" customHeight="1" x14ac:dyDescent="0.25">
      <c r="A36" s="126"/>
      <c r="B36" s="91" t="s">
        <v>63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 customFormat="1" ht="20.100000000000001" customHeight="1" x14ac:dyDescent="0.25">
      <c r="A37" s="127"/>
      <c r="B37" s="92" t="s">
        <v>64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</row>
  </sheetData>
  <mergeCells count="4">
    <mergeCell ref="A21:A34"/>
    <mergeCell ref="A35:A37"/>
    <mergeCell ref="A3:A11"/>
    <mergeCell ref="A12:A2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171450</xdr:colOff>
                    <xdr:row>39</xdr:row>
                    <xdr:rowOff>133350</xdr:rowOff>
                  </from>
                  <to>
                    <xdr:col>6</xdr:col>
                    <xdr:colOff>628650</xdr:colOff>
                    <xdr:row>47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5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4C2E-73FC-41BA-80F5-4D83B5B760F4}">
  <sheetPr codeName="Sheet7"/>
  <dimension ref="A1"/>
  <sheetViews>
    <sheetView workbookViewId="0">
      <selection activeCell="B3" sqref="B3"/>
    </sheetView>
  </sheetViews>
  <sheetFormatPr defaultRowHeight="14.25" x14ac:dyDescent="0.2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生産状況</vt:lpstr>
      <vt:lpstr>不良数</vt:lpstr>
      <vt:lpstr>計画数(10分毎)</vt:lpstr>
      <vt:lpstr>production</vt:lpstr>
      <vt:lpstr>CT</vt:lpstr>
      <vt:lpstr>defective</vt:lpstr>
      <vt:lpstr>linestop</vt:lpstr>
      <vt:lpstr>Sheet1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2026-02-06T07:03:56Z</dcterms:modified>
</cp:coreProperties>
</file>